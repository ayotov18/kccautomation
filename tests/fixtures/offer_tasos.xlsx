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BOTNI\Tasos\"/>
    </mc:Choice>
  </mc:AlternateContent>
  <xr:revisionPtr revIDLastSave="0" documentId="13_ncr:1_{818A054C-C1EC-4F02-8532-3D843ECDEA5F}" xr6:coauthVersionLast="47" xr6:coauthVersionMax="47" xr10:uidLastSave="{00000000-0000-0000-0000-000000000000}"/>
  <bookViews>
    <workbookView xWindow="-103" yWindow="-103" windowWidth="16663" windowHeight="9772" activeTab="2" xr2:uid="{CCEEEB0C-92CB-4A24-98F0-DF77E379A946}"/>
  </bookViews>
  <sheets>
    <sheet name="ТАСОС" sheetId="4" r:id="rId1"/>
    <sheet name="Дани67" sheetId="5" r:id="rId2"/>
    <sheet name="Торос35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6" l="1"/>
  <c r="F26" i="6"/>
  <c r="I26" i="6" s="1"/>
  <c r="H27" i="6"/>
  <c r="F27" i="6"/>
  <c r="H9" i="6"/>
  <c r="F9" i="6"/>
  <c r="F25" i="6"/>
  <c r="H24" i="6"/>
  <c r="F24" i="6"/>
  <c r="H23" i="6"/>
  <c r="F23" i="6"/>
  <c r="I23" i="6" s="1"/>
  <c r="H22" i="6"/>
  <c r="F22" i="6"/>
  <c r="H21" i="6"/>
  <c r="F21" i="6"/>
  <c r="H20" i="6"/>
  <c r="F20" i="6"/>
  <c r="I20" i="6" s="1"/>
  <c r="H19" i="6"/>
  <c r="F19" i="6"/>
  <c r="I19" i="6" s="1"/>
  <c r="H18" i="6"/>
  <c r="F18" i="6"/>
  <c r="H17" i="6"/>
  <c r="F17" i="6"/>
  <c r="H16" i="6"/>
  <c r="F16" i="6"/>
  <c r="H15" i="6"/>
  <c r="F15" i="6"/>
  <c r="I15" i="6" s="1"/>
  <c r="H14" i="6"/>
  <c r="F14" i="6"/>
  <c r="F13" i="6"/>
  <c r="I13" i="6" s="1"/>
  <c r="H12" i="6"/>
  <c r="F12" i="6"/>
  <c r="H11" i="6"/>
  <c r="F11" i="6"/>
  <c r="H10" i="6"/>
  <c r="F10" i="6"/>
  <c r="H8" i="6"/>
  <c r="F8" i="6"/>
  <c r="H7" i="6"/>
  <c r="F7" i="6"/>
  <c r="H6" i="6"/>
  <c r="F6" i="6"/>
  <c r="H24" i="5"/>
  <c r="F24" i="5"/>
  <c r="H23" i="5"/>
  <c r="F23" i="5"/>
  <c r="H22" i="5"/>
  <c r="F22" i="5"/>
  <c r="I22" i="5" s="1"/>
  <c r="H21" i="5"/>
  <c r="F21" i="5"/>
  <c r="I21" i="5" s="1"/>
  <c r="H20" i="5"/>
  <c r="F20" i="5"/>
  <c r="I20" i="5" s="1"/>
  <c r="H19" i="5"/>
  <c r="F19" i="5"/>
  <c r="I19" i="5" s="1"/>
  <c r="H18" i="5"/>
  <c r="F18" i="5"/>
  <c r="I18" i="5" s="1"/>
  <c r="H17" i="5"/>
  <c r="F17" i="5"/>
  <c r="I17" i="5" s="1"/>
  <c r="H16" i="5"/>
  <c r="F16" i="5"/>
  <c r="H15" i="5"/>
  <c r="F15" i="5"/>
  <c r="I15" i="5" s="1"/>
  <c r="H14" i="5"/>
  <c r="F14" i="5"/>
  <c r="I14" i="5" s="1"/>
  <c r="H13" i="5"/>
  <c r="F13" i="5"/>
  <c r="I13" i="5" s="1"/>
  <c r="F12" i="5"/>
  <c r="I12" i="5" s="1"/>
  <c r="H11" i="5"/>
  <c r="F11" i="5"/>
  <c r="H10" i="5"/>
  <c r="F10" i="5"/>
  <c r="I10" i="5" s="1"/>
  <c r="H9" i="5"/>
  <c r="F9" i="5"/>
  <c r="H8" i="5"/>
  <c r="F8" i="5"/>
  <c r="I8" i="5" s="1"/>
  <c r="H7" i="5"/>
  <c r="F7" i="5"/>
  <c r="H6" i="5"/>
  <c r="F6" i="5"/>
  <c r="F12" i="4"/>
  <c r="F13" i="4"/>
  <c r="I13" i="4" s="1"/>
  <c r="H19" i="4"/>
  <c r="H7" i="4"/>
  <c r="H8" i="4"/>
  <c r="H9" i="4"/>
  <c r="H10" i="4"/>
  <c r="H11" i="4"/>
  <c r="H12" i="4"/>
  <c r="H14" i="4"/>
  <c r="H15" i="4"/>
  <c r="H16" i="4"/>
  <c r="H17" i="4"/>
  <c r="H18" i="4"/>
  <c r="H20" i="4"/>
  <c r="H21" i="4"/>
  <c r="H23" i="4"/>
  <c r="H24" i="4"/>
  <c r="H25" i="4"/>
  <c r="H22" i="4"/>
  <c r="H6" i="4"/>
  <c r="F11" i="4"/>
  <c r="F21" i="4"/>
  <c r="F24" i="4"/>
  <c r="F25" i="4"/>
  <c r="F22" i="4"/>
  <c r="F23" i="4"/>
  <c r="F20" i="4"/>
  <c r="F19" i="4"/>
  <c r="F18" i="4"/>
  <c r="F17" i="4"/>
  <c r="F16" i="4"/>
  <c r="F14" i="4"/>
  <c r="F15" i="4"/>
  <c r="F10" i="4"/>
  <c r="F7" i="4"/>
  <c r="F9" i="4"/>
  <c r="F8" i="4"/>
  <c r="F6" i="4"/>
  <c r="I22" i="6" l="1"/>
  <c r="I14" i="6"/>
  <c r="I27" i="6"/>
  <c r="I6" i="6"/>
  <c r="I21" i="6"/>
  <c r="I24" i="6"/>
  <c r="I18" i="6"/>
  <c r="I9" i="6"/>
  <c r="I10" i="6"/>
  <c r="I12" i="6"/>
  <c r="I11" i="6"/>
  <c r="H33" i="6"/>
  <c r="I7" i="6"/>
  <c r="I16" i="6"/>
  <c r="I8" i="6"/>
  <c r="I17" i="6"/>
  <c r="F33" i="6"/>
  <c r="I6" i="5"/>
  <c r="I16" i="5"/>
  <c r="I24" i="5"/>
  <c r="I7" i="5"/>
  <c r="I11" i="5"/>
  <c r="H33" i="5"/>
  <c r="I9" i="5"/>
  <c r="F33" i="5"/>
  <c r="I23" i="5"/>
  <c r="I10" i="4"/>
  <c r="I12" i="4"/>
  <c r="I23" i="4"/>
  <c r="I17" i="4"/>
  <c r="I18" i="4"/>
  <c r="I6" i="4"/>
  <c r="I9" i="4"/>
  <c r="I24" i="4"/>
  <c r="I20" i="4"/>
  <c r="I21" i="4"/>
  <c r="I14" i="4"/>
  <c r="I8" i="4"/>
  <c r="I15" i="4"/>
  <c r="I11" i="4"/>
  <c r="I22" i="4"/>
  <c r="I7" i="4"/>
  <c r="I16" i="4"/>
  <c r="I25" i="4"/>
  <c r="I19" i="4"/>
  <c r="H32" i="4"/>
  <c r="F32" i="4"/>
  <c r="I33" i="6" l="1"/>
  <c r="I33" i="5"/>
  <c r="I32" i="4"/>
</calcChain>
</file>

<file path=xl/sharedStrings.xml><?xml version="1.0" encoding="utf-8"?>
<sst xmlns="http://schemas.openxmlformats.org/spreadsheetml/2006/main" count="206" uniqueCount="67">
  <si>
    <t>No</t>
  </si>
  <si>
    <t>Колич.</t>
  </si>
  <si>
    <t>Общо</t>
  </si>
  <si>
    <t>м2</t>
  </si>
  <si>
    <t>бр.</t>
  </si>
  <si>
    <t>Баня  и ободрудване</t>
  </si>
  <si>
    <t>м.ед.</t>
  </si>
  <si>
    <t>Описание</t>
  </si>
  <si>
    <t>К-ция фасада,покрив, гредоред, стени 10х12 kvh</t>
  </si>
  <si>
    <t>м3</t>
  </si>
  <si>
    <t>К-ция фасада,покрив, гредоред, стени 10х16 kvh</t>
  </si>
  <si>
    <t>К-ция фасада,покрив, гредоред, стени 10х20 bsh</t>
  </si>
  <si>
    <t>К-ция фасада,покрив, гредоред, стени 8х10   kvh</t>
  </si>
  <si>
    <t>Масло 80+54+9+50</t>
  </si>
  <si>
    <t>креп.ел.</t>
  </si>
  <si>
    <t>Лепило панел</t>
  </si>
  <si>
    <t>12 см нео 18-20 кг /м3 топлоизолация</t>
  </si>
  <si>
    <t>ОСБ 10  mm</t>
  </si>
  <si>
    <t>ОСБ 18  mm</t>
  </si>
  <si>
    <t>Врати</t>
  </si>
  <si>
    <t>ВиК и ЕЛ.ИНСТ.</t>
  </si>
  <si>
    <t>Под ет.1</t>
  </si>
  <si>
    <t>Мебели</t>
  </si>
  <si>
    <t>Калкулация Tasos 38.5м2 (5,50*7,00м)</t>
  </si>
  <si>
    <t>Две спални 1 баня: /от 2 до 4 души /</t>
  </si>
  <si>
    <t>Монтаж</t>
  </si>
  <si>
    <t xml:space="preserve">Цена мат </t>
  </si>
  <si>
    <t>Ед. Цена мат</t>
  </si>
  <si>
    <t>Цена монтаж</t>
  </si>
  <si>
    <t>Планки</t>
  </si>
  <si>
    <t>Шперплат мебелен 18 мм</t>
  </si>
  <si>
    <t>Летвена скара 3х4</t>
  </si>
  <si>
    <t>Дъски 2.5 см</t>
  </si>
  <si>
    <t>фолио 125 гр.</t>
  </si>
  <si>
    <t>Фасада и покрив - ламарина</t>
  </si>
  <si>
    <t>Дограма ПВЦ Бяла 5 камерна/без плъзгане/</t>
  </si>
  <si>
    <t>Транспорт</t>
  </si>
  <si>
    <t>Нощувки</t>
  </si>
  <si>
    <t>Стълба и второ ниво /вкл. мат по-горе/</t>
  </si>
  <si>
    <t>Обработка шперплат стени, таван, стълба и второ ниво</t>
  </si>
  <si>
    <t>Общо в Евро без ДДС</t>
  </si>
  <si>
    <t xml:space="preserve">Не са вкл. поз. от 21 до 26  </t>
  </si>
  <si>
    <t>www.wooddesign.bg</t>
  </si>
  <si>
    <t>Срок за доставка и монтаж,начин на плащане - доп. Уточнение.</t>
  </si>
  <si>
    <t>С уважение: инж. Трифон Йотов</t>
  </si>
  <si>
    <t>София 09.04.2026 г.</t>
  </si>
  <si>
    <t>Три спални 2 бани: /от 6 до 8 души /</t>
  </si>
  <si>
    <t>Калкулация Tasos 67.93м2 (4,64*7,32м)</t>
  </si>
  <si>
    <t>К-ция фасада,покрив, гредоред, стени 80х160 kvh</t>
  </si>
  <si>
    <t xml:space="preserve">Масло </t>
  </si>
  <si>
    <t>Каменна вата вътр. стени</t>
  </si>
  <si>
    <t>ПОД и Основа</t>
  </si>
  <si>
    <t>К-ция фасада,покрив, гредоред, стени 100х100 kvh</t>
  </si>
  <si>
    <t>К-ция фасада,покрив, гредоред, стени 80х100  kvh</t>
  </si>
  <si>
    <t>К-ция фасада,покрив, гредоред, стени 50х100  kvh</t>
  </si>
  <si>
    <t>Масло 62.4+26</t>
  </si>
  <si>
    <t>f12</t>
  </si>
  <si>
    <t>pod</t>
  </si>
  <si>
    <t>tavan</t>
  </si>
  <si>
    <t>f3</t>
  </si>
  <si>
    <t>f4</t>
  </si>
  <si>
    <t>steni in vkl. Banja</t>
  </si>
  <si>
    <t>Не са вкл. поз. от ….. до</t>
  </si>
  <si>
    <t>Калкулация Tasos 35.07м2 (4,72*7,43м)</t>
  </si>
  <si>
    <t>Една спалня, една баня: /от 2 до 4 души /</t>
  </si>
  <si>
    <t>София 14.04.2026 г.</t>
  </si>
  <si>
    <t>София 13.04.2026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</si>
</sst>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" fontId="5" fillId="0" borderId="0" xfId="0" applyNumberFormat="1" applyFont="1"/>
    <xf numFmtId="0" fontId="6" fillId="0" borderId="0" xfId="0" applyFont="1"/>
    <xf numFmtId="0" fontId="8" fillId="0" borderId="0" xfId="0" applyFont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0" fillId="0" borderId="11" xfId="0" applyBorder="1"/>
    <xf numFmtId="0" fontId="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4" fontId="2" fillId="0" borderId="11" xfId="0" applyNumberFormat="1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4" fontId="10" fillId="0" borderId="5" xfId="0" applyNumberFormat="1" applyFont="1" applyBorder="1" applyAlignment="1">
      <alignment horizontal="center"/>
    </xf>
    <xf numFmtId="4" fontId="10" fillId="0" borderId="14" xfId="0" applyNumberFormat="1" applyFont="1" applyBorder="1" applyAlignment="1">
      <alignment horizontal="center"/>
    </xf>
    <xf numFmtId="4" fontId="10" fillId="0" borderId="6" xfId="0" applyNumberFormat="1" applyFont="1" applyBorder="1" applyAlignment="1">
      <alignment horizontal="center"/>
    </xf>
    <xf numFmtId="4" fontId="11" fillId="0" borderId="5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7" xfId="0" applyFont="1" applyBorder="1"/>
    <xf numFmtId="0" fontId="10" fillId="0" borderId="7" xfId="0" applyFont="1" applyBorder="1" applyAlignment="1">
      <alignment horizontal="center"/>
    </xf>
    <xf numFmtId="4" fontId="10" fillId="0" borderId="7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/>
    <xf numFmtId="0" fontId="10" fillId="3" borderId="5" xfId="0" applyFont="1" applyFill="1" applyBorder="1" applyAlignment="1">
      <alignment horizontal="center"/>
    </xf>
    <xf numFmtId="4" fontId="10" fillId="3" borderId="5" xfId="0" applyNumberFormat="1" applyFont="1" applyFill="1" applyBorder="1" applyAlignment="1">
      <alignment horizontal="center"/>
    </xf>
    <xf numFmtId="4" fontId="10" fillId="3" borderId="14" xfId="0" applyNumberFormat="1" applyFont="1" applyFill="1" applyBorder="1" applyAlignment="1">
      <alignment horizontal="center"/>
    </xf>
    <xf numFmtId="4" fontId="10" fillId="3" borderId="6" xfId="0" applyNumberFormat="1" applyFont="1" applyFill="1" applyBorder="1" applyAlignment="1">
      <alignment horizontal="center"/>
    </xf>
    <xf numFmtId="4" fontId="11" fillId="3" borderId="5" xfId="0" applyNumberFormat="1" applyFont="1" applyFill="1" applyBorder="1" applyAlignment="1">
      <alignment horizontal="center"/>
    </xf>
    <xf numFmtId="0" fontId="10" fillId="3" borderId="13" xfId="0" applyFont="1" applyFill="1" applyBorder="1"/>
    <xf numFmtId="0" fontId="10" fillId="3" borderId="19" xfId="0" applyFont="1" applyFill="1" applyBorder="1" applyAlignment="1">
      <alignment horizontal="center"/>
    </xf>
    <xf numFmtId="0" fontId="10" fillId="3" borderId="17" xfId="0" applyFont="1" applyFill="1" applyBorder="1"/>
    <xf numFmtId="0" fontId="10" fillId="3" borderId="17" xfId="0" applyFont="1" applyFill="1" applyBorder="1" applyAlignment="1">
      <alignment horizontal="center"/>
    </xf>
    <xf numFmtId="4" fontId="10" fillId="3" borderId="17" xfId="0" applyNumberFormat="1" applyFont="1" applyFill="1" applyBorder="1" applyAlignment="1">
      <alignment horizontal="center"/>
    </xf>
    <xf numFmtId="4" fontId="10" fillId="3" borderId="18" xfId="0" applyNumberFormat="1" applyFont="1" applyFill="1" applyBorder="1" applyAlignment="1">
      <alignment horizontal="center"/>
    </xf>
    <xf numFmtId="4" fontId="10" fillId="3" borderId="20" xfId="0" applyNumberFormat="1" applyFont="1" applyFill="1" applyBorder="1" applyAlignment="1">
      <alignment horizontal="center"/>
    </xf>
    <xf numFmtId="0" fontId="12" fillId="0" borderId="0" xfId="1"/>
    <xf numFmtId="0" fontId="13" fillId="0" borderId="0" xfId="0" applyFont="1" applyAlignment="1">
      <alignment horizontal="right"/>
    </xf>
    <xf numFmtId="0" fontId="12" fillId="0" borderId="0" xfId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Нормален" xfId="0" builtinId="0"/>
    <cellStyle name="Хипервръзка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238124</xdr:colOff>
      <xdr:row>38</xdr:row>
      <xdr:rowOff>0</xdr:rowOff>
    </xdr:from>
    <xdr:to>
      <xdr:col>18</xdr:col>
      <xdr:colOff>472184</xdr:colOff>
      <xdr:row>79</xdr:row>
      <xdr:rowOff>85725</xdr:rowOff>
    </xdr:to>
    <xdr:pic>
      <xdr:nvPicPr>
        <xdr:cNvPr id="3" name="Картина 2">
          <a:extLst>
            <a:ext uri="{FF2B5EF4-FFF2-40B4-BE49-F238E27FC236}">
              <a16:creationId xmlns:a16="http://schemas.microsoft.com/office/drawing/2014/main" id="{E617F548-0E50-5133-060C-A12A6907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4" y="7143750"/>
          <a:ext cx="13140435" cy="7896225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238124</xdr:colOff>
      <xdr:row>80</xdr:row>
      <xdr:rowOff>32702</xdr:rowOff>
    </xdr:from>
    <xdr:to>
      <xdr:col>21</xdr:col>
      <xdr:colOff>47279</xdr:colOff>
      <xdr:row>128</xdr:row>
      <xdr:rowOff>76200</xdr:rowOff>
    </xdr:to>
    <xdr:pic>
      <xdr:nvPicPr>
        <xdr:cNvPr id="4" name="Картина 3">
          <a:extLst>
            <a:ext uri="{FF2B5EF4-FFF2-40B4-BE49-F238E27FC236}">
              <a16:creationId xmlns:a16="http://schemas.microsoft.com/office/drawing/2014/main" id="{BDC3B5FE-5811-73C4-A21E-7A4153489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4" y="15177452"/>
          <a:ext cx="14544330" cy="9187498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130</xdr:row>
      <xdr:rowOff>19050</xdr:rowOff>
    </xdr:from>
    <xdr:to>
      <xdr:col>16</xdr:col>
      <xdr:colOff>451354</xdr:colOff>
      <xdr:row>172</xdr:row>
      <xdr:rowOff>152399</xdr:rowOff>
    </xdr:to>
    <xdr:pic>
      <xdr:nvPicPr>
        <xdr:cNvPr id="5" name="Картина 4">
          <a:extLst>
            <a:ext uri="{FF2B5EF4-FFF2-40B4-BE49-F238E27FC236}">
              <a16:creationId xmlns:a16="http://schemas.microsoft.com/office/drawing/2014/main" id="{45A23B40-7229-13E6-3562-317A45BB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24688800"/>
          <a:ext cx="11100304" cy="8134349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175</xdr:row>
      <xdr:rowOff>84306</xdr:rowOff>
    </xdr:from>
    <xdr:to>
      <xdr:col>15</xdr:col>
      <xdr:colOff>438150</xdr:colOff>
      <xdr:row>196</xdr:row>
      <xdr:rowOff>150349</xdr:rowOff>
    </xdr:to>
    <xdr:pic>
      <xdr:nvPicPr>
        <xdr:cNvPr id="6" name="Картина 5">
          <a:extLst>
            <a:ext uri="{FF2B5EF4-FFF2-40B4-BE49-F238E27FC236}">
              <a16:creationId xmlns:a16="http://schemas.microsoft.com/office/drawing/2014/main" id="{04C1E2B3-8613-9B85-FC56-CAE8DE527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9175" y="33326556"/>
          <a:ext cx="10496550" cy="4066543"/>
        </a:xfrm>
        <a:prstGeom prst="rect">
          <a:avLst/>
        </a:prstGeom>
      </xdr:spPr>
    </xdr:pic>
    <xdr:clientData/>
  </xdr:twoCellAnchor>
  <xdr:twoCellAnchor editAs="oneCell">
    <xdr:from>
      <xdr:col>1</xdr:col>
      <xdr:colOff>742949</xdr:colOff>
      <xdr:row>197</xdr:row>
      <xdr:rowOff>145804</xdr:rowOff>
    </xdr:from>
    <xdr:to>
      <xdr:col>15</xdr:col>
      <xdr:colOff>504824</xdr:colOff>
      <xdr:row>230</xdr:row>
      <xdr:rowOff>124646</xdr:rowOff>
    </xdr:to>
    <xdr:pic>
      <xdr:nvPicPr>
        <xdr:cNvPr id="7" name="Картина 6">
          <a:extLst>
            <a:ext uri="{FF2B5EF4-FFF2-40B4-BE49-F238E27FC236}">
              <a16:creationId xmlns:a16="http://schemas.microsoft.com/office/drawing/2014/main" id="{860BF72B-2962-6E0A-C008-5BE9A4E19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1074" y="37579054"/>
          <a:ext cx="10601325" cy="6265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10</xdr:col>
      <xdr:colOff>281501</xdr:colOff>
      <xdr:row>80</xdr:row>
      <xdr:rowOff>146624</xdr:rowOff>
    </xdr:to>
    <xdr:pic>
      <xdr:nvPicPr>
        <xdr:cNvPr id="13" name="Картина 12">
          <a:extLst>
            <a:ext uri="{FF2B5EF4-FFF2-40B4-BE49-F238E27FC236}">
              <a16:creationId xmlns:a16="http://schemas.microsoft.com/office/drawing/2014/main" id="{1DE0141F-6F63-9E62-4B33-B56B3B4F7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371" y="7440386"/>
          <a:ext cx="8554644" cy="7363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17</xdr:col>
      <xdr:colOff>260104</xdr:colOff>
      <xdr:row>122</xdr:row>
      <xdr:rowOff>40821</xdr:rowOff>
    </xdr:to>
    <xdr:pic>
      <xdr:nvPicPr>
        <xdr:cNvPr id="14" name="Картина 13">
          <a:extLst>
            <a:ext uri="{FF2B5EF4-FFF2-40B4-BE49-F238E27FC236}">
              <a16:creationId xmlns:a16="http://schemas.microsoft.com/office/drawing/2014/main" id="{60C5890E-8A9F-5AC1-738A-FC15F71EB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928" y="16002000"/>
          <a:ext cx="13118854" cy="74703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12</xdr:col>
      <xdr:colOff>470849</xdr:colOff>
      <xdr:row>77</xdr:row>
      <xdr:rowOff>130214</xdr:rowOff>
    </xdr:to>
    <xdr:pic>
      <xdr:nvPicPr>
        <xdr:cNvPr id="7" name="Картина 6">
          <a:extLst>
            <a:ext uri="{FF2B5EF4-FFF2-40B4-BE49-F238E27FC236}">
              <a16:creationId xmlns:a16="http://schemas.microsoft.com/office/drawing/2014/main" id="{C2002512-138A-BCB8-D9D3-531ACFA93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371" y="7995557"/>
          <a:ext cx="10050278" cy="67922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12</xdr:col>
      <xdr:colOff>489901</xdr:colOff>
      <xdr:row>114</xdr:row>
      <xdr:rowOff>157384</xdr:rowOff>
    </xdr:to>
    <xdr:pic>
      <xdr:nvPicPr>
        <xdr:cNvPr id="8" name="Картина 7">
          <a:extLst>
            <a:ext uri="{FF2B5EF4-FFF2-40B4-BE49-F238E27FC236}">
              <a16:creationId xmlns:a16="http://schemas.microsoft.com/office/drawing/2014/main" id="{92A6683D-5F25-8F25-6A19-A2988C67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371" y="15212786"/>
          <a:ext cx="10069330" cy="644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на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wooddesign.bg/" TargetMode="External"/><Relationship Id="rId1" Type="http://schemas.openxmlformats.org/officeDocument/2006/relationships/hyperlink" Target="http://www.wooddesign.bg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wooddesign.bg/" TargetMode="External"/><Relationship Id="rId1" Type="http://schemas.openxmlformats.org/officeDocument/2006/relationships/hyperlink" Target="http://www.wooddesign.bg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://www.wooddesign.bg/" TargetMode="External"/><Relationship Id="rId1" Type="http://schemas.openxmlformats.org/officeDocument/2006/relationships/hyperlink" Target="http://www.wooddesign.b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2A02-1B63-469C-A53E-EB49654D1B65}">
  <dimension ref="A2:I38"/>
  <sheetViews>
    <sheetView zoomScaleNormal="100" workbookViewId="0">
      <selection activeCell="D9" sqref="D9"/>
    </sheetView>
  </sheetViews>
  <sheetFormatPr defaultRowHeight="14.6" x14ac:dyDescent="0.4"/>
  <cols>
    <col min="1" max="1" width="3.53515625" customWidth="1"/>
    <col min="2" max="2" width="52.84375" customWidth="1"/>
    <col min="3" max="3" width="6.15234375" customWidth="1"/>
    <col min="4" max="4" width="6" customWidth="1"/>
    <col min="5" max="5" width="11.3046875" customWidth="1"/>
    <col min="6" max="6" width="9.53515625" customWidth="1"/>
    <col min="7" max="7" width="10" hidden="1" customWidth="1"/>
    <col min="8" max="8" width="11.84375" customWidth="1"/>
    <col min="9" max="9" width="10" customWidth="1"/>
  </cols>
  <sheetData>
    <row r="2" spans="1:9" ht="24.75" customHeight="1" x14ac:dyDescent="0.4">
      <c r="B2" s="48" t="s">
        <v>42</v>
      </c>
    </row>
    <row r="3" spans="1:9" ht="18.45" x14ac:dyDescent="0.5">
      <c r="A3" s="1"/>
      <c r="B3" s="7" t="s">
        <v>23</v>
      </c>
      <c r="C3" s="2"/>
      <c r="D3" s="1"/>
      <c r="E3" s="1"/>
      <c r="F3" s="1"/>
      <c r="G3" s="1"/>
      <c r="H3" s="1"/>
      <c r="I3" s="1"/>
    </row>
    <row r="4" spans="1:9" ht="18.899999999999999" thickBot="1" x14ac:dyDescent="0.55000000000000004">
      <c r="A4" s="1"/>
      <c r="B4" s="7" t="s">
        <v>24</v>
      </c>
      <c r="C4" s="2"/>
      <c r="D4" s="1"/>
      <c r="E4" s="1"/>
      <c r="F4" s="1"/>
      <c r="G4" s="1"/>
      <c r="H4" s="1"/>
      <c r="I4" s="1"/>
    </row>
    <row r="5" spans="1:9" s="8" customFormat="1" ht="12.9" x14ac:dyDescent="0.35">
      <c r="A5" s="17" t="s">
        <v>0</v>
      </c>
      <c r="B5" s="18" t="s">
        <v>7</v>
      </c>
      <c r="C5" s="18" t="s">
        <v>6</v>
      </c>
      <c r="D5" s="19" t="s">
        <v>1</v>
      </c>
      <c r="E5" s="19" t="s">
        <v>27</v>
      </c>
      <c r="F5" s="18" t="s">
        <v>26</v>
      </c>
      <c r="G5" s="19" t="s">
        <v>25</v>
      </c>
      <c r="H5" s="18" t="s">
        <v>28</v>
      </c>
      <c r="I5" s="20" t="s">
        <v>2</v>
      </c>
    </row>
    <row r="6" spans="1:9" x14ac:dyDescent="0.4">
      <c r="A6" s="34">
        <v>1</v>
      </c>
      <c r="B6" s="35" t="s">
        <v>8</v>
      </c>
      <c r="C6" s="35" t="s">
        <v>9</v>
      </c>
      <c r="D6" s="36">
        <v>2.1840000000000002</v>
      </c>
      <c r="E6" s="37">
        <v>690</v>
      </c>
      <c r="F6" s="37">
        <f t="shared" ref="F6:F25" si="0">SUM(D6*E6)</f>
        <v>1506.96</v>
      </c>
      <c r="G6" s="37">
        <v>950</v>
      </c>
      <c r="H6" s="38">
        <f>D6*G6</f>
        <v>2074.8000000000002</v>
      </c>
      <c r="I6" s="39">
        <f>F6+H6</f>
        <v>3581.76</v>
      </c>
    </row>
    <row r="7" spans="1:9" x14ac:dyDescent="0.4">
      <c r="A7" s="34">
        <v>2</v>
      </c>
      <c r="B7" s="35" t="s">
        <v>10</v>
      </c>
      <c r="C7" s="35" t="s">
        <v>9</v>
      </c>
      <c r="D7" s="36">
        <v>1.6639999999999999</v>
      </c>
      <c r="E7" s="37">
        <v>690</v>
      </c>
      <c r="F7" s="37">
        <f t="shared" si="0"/>
        <v>1148.1599999999999</v>
      </c>
      <c r="G7" s="37">
        <v>950</v>
      </c>
      <c r="H7" s="38">
        <f t="shared" ref="H7:H25" si="1">D7*G7</f>
        <v>1580.8</v>
      </c>
      <c r="I7" s="39">
        <f t="shared" ref="I7:I25" si="2">F7+H7</f>
        <v>2728.96</v>
      </c>
    </row>
    <row r="8" spans="1:9" x14ac:dyDescent="0.4">
      <c r="A8" s="34">
        <v>3</v>
      </c>
      <c r="B8" s="35" t="s">
        <v>12</v>
      </c>
      <c r="C8" s="35" t="s">
        <v>9</v>
      </c>
      <c r="D8" s="36">
        <v>1.3520000000000001</v>
      </c>
      <c r="E8" s="40">
        <v>690</v>
      </c>
      <c r="F8" s="37">
        <f t="shared" si="0"/>
        <v>932.88000000000011</v>
      </c>
      <c r="G8" s="37">
        <v>950</v>
      </c>
      <c r="H8" s="38">
        <f t="shared" si="1"/>
        <v>1284.4000000000001</v>
      </c>
      <c r="I8" s="39">
        <f t="shared" si="2"/>
        <v>2217.2800000000002</v>
      </c>
    </row>
    <row r="9" spans="1:9" x14ac:dyDescent="0.4">
      <c r="A9" s="34">
        <v>4</v>
      </c>
      <c r="B9" s="35" t="s">
        <v>11</v>
      </c>
      <c r="C9" s="35" t="s">
        <v>9</v>
      </c>
      <c r="D9" s="36">
        <v>0.32400000000000001</v>
      </c>
      <c r="E9" s="40">
        <v>850</v>
      </c>
      <c r="F9" s="37">
        <f t="shared" si="0"/>
        <v>275.40000000000003</v>
      </c>
      <c r="G9" s="37">
        <v>950</v>
      </c>
      <c r="H9" s="38">
        <f t="shared" si="1"/>
        <v>307.8</v>
      </c>
      <c r="I9" s="39">
        <f t="shared" si="2"/>
        <v>583.20000000000005</v>
      </c>
    </row>
    <row r="10" spans="1:9" x14ac:dyDescent="0.4">
      <c r="A10" s="34">
        <v>5</v>
      </c>
      <c r="B10" s="35" t="s">
        <v>13</v>
      </c>
      <c r="C10" s="35" t="s">
        <v>3</v>
      </c>
      <c r="D10" s="36">
        <v>193</v>
      </c>
      <c r="E10" s="40">
        <v>1.91</v>
      </c>
      <c r="F10" s="37">
        <f t="shared" si="0"/>
        <v>368.63</v>
      </c>
      <c r="G10" s="40">
        <v>6.5</v>
      </c>
      <c r="H10" s="38">
        <f t="shared" si="1"/>
        <v>1254.5</v>
      </c>
      <c r="I10" s="39">
        <f t="shared" si="2"/>
        <v>1623.13</v>
      </c>
    </row>
    <row r="11" spans="1:9" x14ac:dyDescent="0.4">
      <c r="A11" s="34">
        <v>6</v>
      </c>
      <c r="B11" s="35" t="s">
        <v>39</v>
      </c>
      <c r="C11" s="35" t="s">
        <v>3</v>
      </c>
      <c r="D11" s="36">
        <v>146.87</v>
      </c>
      <c r="E11" s="40">
        <v>1.2</v>
      </c>
      <c r="F11" s="37">
        <f t="shared" si="0"/>
        <v>176.244</v>
      </c>
      <c r="G11" s="40">
        <v>6.5</v>
      </c>
      <c r="H11" s="38">
        <f t="shared" si="1"/>
        <v>954.65499999999997</v>
      </c>
      <c r="I11" s="39">
        <f t="shared" si="2"/>
        <v>1130.8989999999999</v>
      </c>
    </row>
    <row r="12" spans="1:9" x14ac:dyDescent="0.4">
      <c r="A12" s="34">
        <v>7</v>
      </c>
      <c r="B12" s="35" t="s">
        <v>14</v>
      </c>
      <c r="C12" s="35" t="s">
        <v>3</v>
      </c>
      <c r="D12" s="36">
        <v>145.30000000000001</v>
      </c>
      <c r="E12" s="40">
        <v>8.5</v>
      </c>
      <c r="F12" s="37">
        <f t="shared" si="0"/>
        <v>1235.0500000000002</v>
      </c>
      <c r="G12" s="40"/>
      <c r="H12" s="38">
        <f t="shared" si="1"/>
        <v>0</v>
      </c>
      <c r="I12" s="39">
        <f t="shared" si="2"/>
        <v>1235.0500000000002</v>
      </c>
    </row>
    <row r="13" spans="1:9" x14ac:dyDescent="0.4">
      <c r="A13" s="34">
        <v>8</v>
      </c>
      <c r="B13" s="35" t="s">
        <v>29</v>
      </c>
      <c r="C13" s="35" t="s">
        <v>4</v>
      </c>
      <c r="D13" s="36">
        <v>66</v>
      </c>
      <c r="E13" s="40">
        <v>12</v>
      </c>
      <c r="F13" s="37">
        <f t="shared" si="0"/>
        <v>792</v>
      </c>
      <c r="G13" s="40"/>
      <c r="H13" s="38">
        <v>0</v>
      </c>
      <c r="I13" s="39">
        <f t="shared" si="2"/>
        <v>792</v>
      </c>
    </row>
    <row r="14" spans="1:9" x14ac:dyDescent="0.4">
      <c r="A14" s="34">
        <v>9</v>
      </c>
      <c r="B14" s="35" t="s">
        <v>30</v>
      </c>
      <c r="C14" s="35" t="s">
        <v>3</v>
      </c>
      <c r="D14" s="36">
        <v>146.87</v>
      </c>
      <c r="E14" s="40">
        <v>17.600000000000001</v>
      </c>
      <c r="F14" s="37">
        <f t="shared" si="0"/>
        <v>2584.9120000000003</v>
      </c>
      <c r="G14" s="40">
        <v>15</v>
      </c>
      <c r="H14" s="38">
        <f t="shared" si="1"/>
        <v>2203.0500000000002</v>
      </c>
      <c r="I14" s="39">
        <f t="shared" si="2"/>
        <v>4787.9620000000004</v>
      </c>
    </row>
    <row r="15" spans="1:9" x14ac:dyDescent="0.4">
      <c r="A15" s="34">
        <v>10</v>
      </c>
      <c r="B15" s="35" t="s">
        <v>18</v>
      </c>
      <c r="C15" s="35" t="s">
        <v>3</v>
      </c>
      <c r="D15" s="36">
        <v>118</v>
      </c>
      <c r="E15" s="40">
        <v>5.86</v>
      </c>
      <c r="F15" s="37">
        <f t="shared" si="0"/>
        <v>691.48</v>
      </c>
      <c r="G15" s="40">
        <v>7.5</v>
      </c>
      <c r="H15" s="38">
        <f t="shared" si="1"/>
        <v>885</v>
      </c>
      <c r="I15" s="39">
        <f t="shared" si="2"/>
        <v>1576.48</v>
      </c>
    </row>
    <row r="16" spans="1:9" x14ac:dyDescent="0.4">
      <c r="A16" s="34">
        <v>11</v>
      </c>
      <c r="B16" s="35" t="s">
        <v>17</v>
      </c>
      <c r="C16" s="35" t="s">
        <v>3</v>
      </c>
      <c r="D16" s="36">
        <v>118</v>
      </c>
      <c r="E16" s="40">
        <v>3.11</v>
      </c>
      <c r="F16" s="37">
        <f t="shared" si="0"/>
        <v>366.97999999999996</v>
      </c>
      <c r="G16" s="40">
        <v>6.5</v>
      </c>
      <c r="H16" s="38">
        <f t="shared" si="1"/>
        <v>767</v>
      </c>
      <c r="I16" s="39">
        <f t="shared" si="2"/>
        <v>1133.98</v>
      </c>
    </row>
    <row r="17" spans="1:9" x14ac:dyDescent="0.4">
      <c r="A17" s="34">
        <v>12</v>
      </c>
      <c r="B17" s="41" t="s">
        <v>16</v>
      </c>
      <c r="C17" s="35" t="s">
        <v>3</v>
      </c>
      <c r="D17" s="36">
        <v>118</v>
      </c>
      <c r="E17" s="40">
        <v>10</v>
      </c>
      <c r="F17" s="37">
        <f t="shared" si="0"/>
        <v>1180</v>
      </c>
      <c r="G17" s="40">
        <v>5.5</v>
      </c>
      <c r="H17" s="38">
        <f t="shared" si="1"/>
        <v>649</v>
      </c>
      <c r="I17" s="39">
        <f t="shared" si="2"/>
        <v>1829</v>
      </c>
    </row>
    <row r="18" spans="1:9" x14ac:dyDescent="0.4">
      <c r="A18" s="34">
        <v>13</v>
      </c>
      <c r="B18" s="35" t="s">
        <v>15</v>
      </c>
      <c r="C18" s="35" t="s">
        <v>3</v>
      </c>
      <c r="D18" s="36">
        <v>118</v>
      </c>
      <c r="E18" s="40">
        <v>3</v>
      </c>
      <c r="F18" s="37">
        <f t="shared" si="0"/>
        <v>354</v>
      </c>
      <c r="G18" s="40">
        <v>25</v>
      </c>
      <c r="H18" s="38">
        <f t="shared" si="1"/>
        <v>2950</v>
      </c>
      <c r="I18" s="39">
        <f t="shared" si="2"/>
        <v>3304</v>
      </c>
    </row>
    <row r="19" spans="1:9" x14ac:dyDescent="0.4">
      <c r="A19" s="34">
        <v>14</v>
      </c>
      <c r="B19" s="35" t="s">
        <v>31</v>
      </c>
      <c r="C19" s="35" t="s">
        <v>3</v>
      </c>
      <c r="D19" s="36">
        <v>107.5</v>
      </c>
      <c r="E19" s="40">
        <v>2.2999999999999998</v>
      </c>
      <c r="F19" s="37">
        <f t="shared" si="0"/>
        <v>247.24999999999997</v>
      </c>
      <c r="G19" s="40">
        <v>3.5</v>
      </c>
      <c r="H19" s="38">
        <f t="shared" si="1"/>
        <v>376.25</v>
      </c>
      <c r="I19" s="39">
        <f t="shared" si="2"/>
        <v>623.5</v>
      </c>
    </row>
    <row r="20" spans="1:9" x14ac:dyDescent="0.4">
      <c r="A20" s="34">
        <v>15</v>
      </c>
      <c r="B20" s="35" t="s">
        <v>32</v>
      </c>
      <c r="C20" s="35" t="s">
        <v>9</v>
      </c>
      <c r="D20" s="36">
        <v>1.875</v>
      </c>
      <c r="E20" s="40">
        <v>270</v>
      </c>
      <c r="F20" s="37">
        <f t="shared" si="0"/>
        <v>506.25</v>
      </c>
      <c r="G20" s="40">
        <v>7</v>
      </c>
      <c r="H20" s="38">
        <f t="shared" si="1"/>
        <v>13.125</v>
      </c>
      <c r="I20" s="39">
        <f t="shared" si="2"/>
        <v>519.375</v>
      </c>
    </row>
    <row r="21" spans="1:9" x14ac:dyDescent="0.4">
      <c r="A21" s="34">
        <v>16</v>
      </c>
      <c r="B21" s="35" t="s">
        <v>33</v>
      </c>
      <c r="C21" s="35" t="s">
        <v>3</v>
      </c>
      <c r="D21" s="36">
        <v>150</v>
      </c>
      <c r="E21" s="40">
        <v>1.5</v>
      </c>
      <c r="F21" s="37">
        <f t="shared" si="0"/>
        <v>225</v>
      </c>
      <c r="G21" s="40">
        <v>2</v>
      </c>
      <c r="H21" s="38">
        <f t="shared" si="1"/>
        <v>300</v>
      </c>
      <c r="I21" s="39">
        <f t="shared" si="2"/>
        <v>525</v>
      </c>
    </row>
    <row r="22" spans="1:9" x14ac:dyDescent="0.4">
      <c r="A22" s="34">
        <v>17</v>
      </c>
      <c r="B22" s="35" t="s">
        <v>34</v>
      </c>
      <c r="C22" s="35" t="s">
        <v>3</v>
      </c>
      <c r="D22" s="36">
        <v>107.5</v>
      </c>
      <c r="E22" s="40">
        <v>64</v>
      </c>
      <c r="F22" s="37">
        <f>SUM(D22*E22)</f>
        <v>6880</v>
      </c>
      <c r="G22" s="40">
        <v>16</v>
      </c>
      <c r="H22" s="38">
        <f>D22*G22</f>
        <v>1720</v>
      </c>
      <c r="I22" s="39">
        <f>F22+H22</f>
        <v>8600</v>
      </c>
    </row>
    <row r="23" spans="1:9" x14ac:dyDescent="0.4">
      <c r="A23" s="34">
        <v>18</v>
      </c>
      <c r="B23" s="35" t="s">
        <v>35</v>
      </c>
      <c r="C23" s="35" t="s">
        <v>3</v>
      </c>
      <c r="D23" s="36">
        <v>19</v>
      </c>
      <c r="E23" s="40">
        <v>120</v>
      </c>
      <c r="F23" s="37">
        <f t="shared" si="0"/>
        <v>2280</v>
      </c>
      <c r="G23" s="40">
        <v>100</v>
      </c>
      <c r="H23" s="38">
        <f t="shared" si="1"/>
        <v>1900</v>
      </c>
      <c r="I23" s="39">
        <f t="shared" si="2"/>
        <v>4180</v>
      </c>
    </row>
    <row r="24" spans="1:9" x14ac:dyDescent="0.4">
      <c r="A24" s="34">
        <v>19</v>
      </c>
      <c r="B24" s="35" t="s">
        <v>19</v>
      </c>
      <c r="C24" s="35" t="s">
        <v>4</v>
      </c>
      <c r="D24" s="36">
        <v>2</v>
      </c>
      <c r="E24" s="40">
        <v>300</v>
      </c>
      <c r="F24" s="37">
        <f t="shared" si="0"/>
        <v>600</v>
      </c>
      <c r="G24" s="40">
        <v>70</v>
      </c>
      <c r="H24" s="38">
        <f t="shared" si="1"/>
        <v>140</v>
      </c>
      <c r="I24" s="39">
        <f t="shared" si="2"/>
        <v>740</v>
      </c>
    </row>
    <row r="25" spans="1:9" x14ac:dyDescent="0.4">
      <c r="A25" s="34">
        <v>20</v>
      </c>
      <c r="B25" s="35" t="s">
        <v>38</v>
      </c>
      <c r="C25" s="35" t="s">
        <v>4</v>
      </c>
      <c r="D25" s="36">
        <v>1</v>
      </c>
      <c r="E25" s="40">
        <v>0</v>
      </c>
      <c r="F25" s="37">
        <f t="shared" si="0"/>
        <v>0</v>
      </c>
      <c r="G25" s="40">
        <v>1500</v>
      </c>
      <c r="H25" s="38">
        <f t="shared" si="1"/>
        <v>1500</v>
      </c>
      <c r="I25" s="39">
        <f t="shared" si="2"/>
        <v>1500</v>
      </c>
    </row>
    <row r="26" spans="1:9" x14ac:dyDescent="0.4">
      <c r="A26" s="21">
        <v>21</v>
      </c>
      <c r="B26" s="22" t="s">
        <v>5</v>
      </c>
      <c r="C26" s="22"/>
      <c r="D26" s="23"/>
      <c r="E26" s="27"/>
      <c r="F26" s="24"/>
      <c r="G26" s="27"/>
      <c r="H26" s="25"/>
      <c r="I26" s="26"/>
    </row>
    <row r="27" spans="1:9" x14ac:dyDescent="0.4">
      <c r="A27" s="21">
        <v>22</v>
      </c>
      <c r="B27" s="22" t="s">
        <v>20</v>
      </c>
      <c r="C27" s="22"/>
      <c r="D27" s="23"/>
      <c r="E27" s="27"/>
      <c r="F27" s="24"/>
      <c r="G27" s="27"/>
      <c r="H27" s="25"/>
      <c r="I27" s="26"/>
    </row>
    <row r="28" spans="1:9" x14ac:dyDescent="0.4">
      <c r="A28" s="21">
        <v>23</v>
      </c>
      <c r="B28" s="22" t="s">
        <v>21</v>
      </c>
      <c r="C28" s="22"/>
      <c r="D28" s="23"/>
      <c r="E28" s="27"/>
      <c r="F28" s="24"/>
      <c r="G28" s="27"/>
      <c r="H28" s="24"/>
      <c r="I28" s="26"/>
    </row>
    <row r="29" spans="1:9" x14ac:dyDescent="0.4">
      <c r="A29" s="21">
        <v>24</v>
      </c>
      <c r="B29" s="22" t="s">
        <v>22</v>
      </c>
      <c r="C29" s="22"/>
      <c r="D29" s="23"/>
      <c r="E29" s="27"/>
      <c r="F29" s="24"/>
      <c r="G29" s="27"/>
      <c r="H29" s="24"/>
      <c r="I29" s="26"/>
    </row>
    <row r="30" spans="1:9" x14ac:dyDescent="0.4">
      <c r="A30" s="21">
        <v>25</v>
      </c>
      <c r="B30" s="22" t="s">
        <v>36</v>
      </c>
      <c r="C30" s="22"/>
      <c r="D30" s="23"/>
      <c r="E30" s="27"/>
      <c r="F30" s="24"/>
      <c r="G30" s="27"/>
      <c r="H30" s="24"/>
      <c r="I30" s="26"/>
    </row>
    <row r="31" spans="1:9" x14ac:dyDescent="0.4">
      <c r="A31" s="21">
        <v>26</v>
      </c>
      <c r="B31" s="22" t="s">
        <v>37</v>
      </c>
      <c r="C31" s="22"/>
      <c r="D31" s="23"/>
      <c r="E31" s="27"/>
      <c r="F31" s="24"/>
      <c r="G31" s="27"/>
      <c r="H31" s="24"/>
      <c r="I31" s="26"/>
    </row>
    <row r="32" spans="1:9" ht="15" thickBot="1" x14ac:dyDescent="0.45">
      <c r="A32" s="42"/>
      <c r="B32" s="43" t="s">
        <v>40</v>
      </c>
      <c r="C32" s="43"/>
      <c r="D32" s="44"/>
      <c r="E32" s="44" t="s">
        <v>2</v>
      </c>
      <c r="F32" s="45">
        <f>SUM(F6:F29)</f>
        <v>22351.196</v>
      </c>
      <c r="G32" s="44"/>
      <c r="H32" s="46">
        <f>SUM(H6:H29)</f>
        <v>20860.38</v>
      </c>
      <c r="I32" s="47">
        <f>SUM(I6:I29)</f>
        <v>43211.576000000001</v>
      </c>
    </row>
    <row r="33" spans="1:9" ht="15" thickBot="1" x14ac:dyDescent="0.45">
      <c r="A33" s="28"/>
      <c r="B33" s="29" t="s">
        <v>41</v>
      </c>
      <c r="C33" s="29"/>
      <c r="D33" s="30"/>
      <c r="E33" s="30"/>
      <c r="F33" s="31"/>
      <c r="G33" s="30"/>
      <c r="H33" s="32"/>
      <c r="I33" s="33"/>
    </row>
    <row r="34" spans="1:9" ht="15" thickBot="1" x14ac:dyDescent="0.45">
      <c r="A34" s="9"/>
      <c r="B34" s="10" t="s">
        <v>43</v>
      </c>
      <c r="C34" s="11"/>
      <c r="D34" s="12"/>
      <c r="E34" s="13"/>
      <c r="F34" s="14"/>
      <c r="G34" s="13"/>
      <c r="H34" s="15"/>
      <c r="I34" s="16"/>
    </row>
    <row r="35" spans="1:9" x14ac:dyDescent="0.4">
      <c r="A35" s="4"/>
      <c r="B35" s="3"/>
      <c r="D35" s="1"/>
      <c r="E35" s="5"/>
      <c r="F35" s="6"/>
      <c r="G35" s="5"/>
      <c r="H35" s="5"/>
      <c r="I35" s="5"/>
    </row>
    <row r="36" spans="1:9" x14ac:dyDescent="0.4">
      <c r="B36" s="49" t="s">
        <v>44</v>
      </c>
    </row>
    <row r="37" spans="1:9" x14ac:dyDescent="0.4">
      <c r="B37" s="49" t="s">
        <v>45</v>
      </c>
    </row>
    <row r="38" spans="1:9" x14ac:dyDescent="0.4">
      <c r="B38" s="50" t="s">
        <v>42</v>
      </c>
    </row>
  </sheetData>
  <phoneticPr fontId="7" type="noConversion"/>
  <hyperlinks>
    <hyperlink ref="B2" r:id="rId1" xr:uid="{24D1758D-5CF4-44BB-A9C5-8168DAB218B8}"/>
    <hyperlink ref="B38" r:id="rId2" xr:uid="{4B2C2C25-AAC8-49E0-9841-0AA5ED4790FB}"/>
  </hyperlinks>
  <pageMargins left="0.7" right="0.7" top="0.75" bottom="0.75" header="0.3" footer="0.3"/>
  <pageSetup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D34F-0D08-4194-891A-68F956B7EA84}">
  <dimension ref="A2:O39"/>
  <sheetViews>
    <sheetView topLeftCell="A20" zoomScale="85" zoomScaleNormal="85" workbookViewId="0">
      <selection activeCell="L30" sqref="L30"/>
    </sheetView>
  </sheetViews>
  <sheetFormatPr defaultRowHeight="14.6" x14ac:dyDescent="0.4"/>
  <cols>
    <col min="1" max="1" width="3.53515625" customWidth="1"/>
    <col min="2" max="2" width="52.84375" customWidth="1"/>
    <col min="3" max="3" width="6.15234375" customWidth="1"/>
    <col min="4" max="4" width="6" customWidth="1"/>
    <col min="5" max="5" width="11.3046875" customWidth="1"/>
    <col min="6" max="6" width="9.53515625" customWidth="1"/>
    <col min="7" max="7" width="10" hidden="1" customWidth="1"/>
    <col min="8" max="8" width="11.84375" customWidth="1"/>
    <col min="9" max="9" width="10" customWidth="1"/>
  </cols>
  <sheetData>
    <row r="2" spans="1:14" ht="24.75" customHeight="1" x14ac:dyDescent="0.4">
      <c r="B2" s="48" t="s">
        <v>42</v>
      </c>
    </row>
    <row r="3" spans="1:14" ht="18.45" x14ac:dyDescent="0.5">
      <c r="A3" s="1"/>
      <c r="B3" s="7" t="s">
        <v>47</v>
      </c>
      <c r="C3" s="2"/>
      <c r="D3" s="1"/>
      <c r="E3" s="1"/>
      <c r="F3" s="1"/>
      <c r="G3" s="1"/>
      <c r="H3" s="1"/>
      <c r="I3" s="1"/>
    </row>
    <row r="4" spans="1:14" ht="18.899999999999999" thickBot="1" x14ac:dyDescent="0.55000000000000004">
      <c r="A4" s="1"/>
      <c r="B4" s="7" t="s">
        <v>46</v>
      </c>
      <c r="C4" s="2"/>
      <c r="D4" s="1"/>
      <c r="E4" s="1"/>
      <c r="F4" s="1"/>
      <c r="G4" s="1"/>
      <c r="H4" s="1"/>
      <c r="I4" s="1"/>
    </row>
    <row r="5" spans="1:14" s="8" customFormat="1" ht="12.9" x14ac:dyDescent="0.35">
      <c r="A5" s="17" t="s">
        <v>0</v>
      </c>
      <c r="B5" s="18" t="s">
        <v>7</v>
      </c>
      <c r="C5" s="18" t="s">
        <v>6</v>
      </c>
      <c r="D5" s="19" t="s">
        <v>1</v>
      </c>
      <c r="E5" s="19" t="s">
        <v>27</v>
      </c>
      <c r="F5" s="18" t="s">
        <v>26</v>
      </c>
      <c r="G5" s="19" t="s">
        <v>25</v>
      </c>
      <c r="H5" s="18" t="s">
        <v>28</v>
      </c>
      <c r="I5" s="20" t="s">
        <v>2</v>
      </c>
    </row>
    <row r="6" spans="1:14" x14ac:dyDescent="0.4">
      <c r="A6" s="34">
        <v>1</v>
      </c>
      <c r="B6" s="35" t="s">
        <v>48</v>
      </c>
      <c r="C6" s="35" t="s">
        <v>9</v>
      </c>
      <c r="D6" s="36">
        <v>3.33</v>
      </c>
      <c r="E6" s="37">
        <v>690</v>
      </c>
      <c r="F6" s="37">
        <f t="shared" ref="F6:F24" si="0">SUM(D6*E6)</f>
        <v>2297.7000000000003</v>
      </c>
      <c r="G6" s="37">
        <v>950</v>
      </c>
      <c r="H6" s="38">
        <f>D6*G6</f>
        <v>3163.5</v>
      </c>
      <c r="I6" s="39">
        <f>F6+H6</f>
        <v>5461.2000000000007</v>
      </c>
    </row>
    <row r="7" spans="1:14" x14ac:dyDescent="0.4">
      <c r="A7" s="34">
        <v>2</v>
      </c>
      <c r="B7" s="35" t="s">
        <v>11</v>
      </c>
      <c r="C7" s="35" t="s">
        <v>9</v>
      </c>
      <c r="D7" s="36">
        <v>0.54</v>
      </c>
      <c r="E7" s="40">
        <v>850</v>
      </c>
      <c r="F7" s="37">
        <f t="shared" si="0"/>
        <v>459.00000000000006</v>
      </c>
      <c r="G7" s="37">
        <v>950</v>
      </c>
      <c r="H7" s="38">
        <f t="shared" ref="H7:H24" si="1">D7*G7</f>
        <v>513</v>
      </c>
      <c r="I7" s="39">
        <f t="shared" ref="I7:I24" si="2">F7+H7</f>
        <v>972</v>
      </c>
    </row>
    <row r="8" spans="1:14" x14ac:dyDescent="0.4">
      <c r="A8" s="34">
        <v>3</v>
      </c>
      <c r="B8" s="35" t="s">
        <v>12</v>
      </c>
      <c r="C8" s="35" t="s">
        <v>9</v>
      </c>
      <c r="D8" s="36">
        <v>2</v>
      </c>
      <c r="E8" s="40">
        <v>690</v>
      </c>
      <c r="F8" s="37">
        <f t="shared" si="0"/>
        <v>1380</v>
      </c>
      <c r="G8" s="37">
        <v>950</v>
      </c>
      <c r="H8" s="38">
        <f t="shared" si="1"/>
        <v>1900</v>
      </c>
      <c r="I8" s="39">
        <f t="shared" si="2"/>
        <v>3280</v>
      </c>
    </row>
    <row r="9" spans="1:14" x14ac:dyDescent="0.4">
      <c r="A9" s="34">
        <v>4</v>
      </c>
      <c r="B9" s="35" t="s">
        <v>49</v>
      </c>
      <c r="C9" s="35" t="s">
        <v>3</v>
      </c>
      <c r="D9" s="36">
        <v>250</v>
      </c>
      <c r="E9" s="40">
        <v>1.91</v>
      </c>
      <c r="F9" s="37">
        <f t="shared" si="0"/>
        <v>477.5</v>
      </c>
      <c r="G9" s="40">
        <v>6.5</v>
      </c>
      <c r="H9" s="38">
        <f t="shared" si="1"/>
        <v>1625</v>
      </c>
      <c r="I9" s="39">
        <f t="shared" si="2"/>
        <v>2102.5</v>
      </c>
    </row>
    <row r="10" spans="1:14" x14ac:dyDescent="0.4">
      <c r="A10" s="34">
        <v>5</v>
      </c>
      <c r="B10" s="35" t="s">
        <v>39</v>
      </c>
      <c r="C10" s="35" t="s">
        <v>3</v>
      </c>
      <c r="D10" s="36">
        <v>250</v>
      </c>
      <c r="E10" s="40">
        <v>1.2</v>
      </c>
      <c r="F10" s="37">
        <f t="shared" si="0"/>
        <v>300</v>
      </c>
      <c r="G10" s="40">
        <v>6.5</v>
      </c>
      <c r="H10" s="38">
        <f t="shared" si="1"/>
        <v>1625</v>
      </c>
      <c r="I10" s="39">
        <f t="shared" si="2"/>
        <v>1925</v>
      </c>
    </row>
    <row r="11" spans="1:14" x14ac:dyDescent="0.4">
      <c r="A11" s="34">
        <v>6</v>
      </c>
      <c r="B11" s="35" t="s">
        <v>14</v>
      </c>
      <c r="C11" s="35" t="s">
        <v>3</v>
      </c>
      <c r="D11" s="36">
        <v>250</v>
      </c>
      <c r="E11" s="40">
        <v>8.5</v>
      </c>
      <c r="F11" s="37">
        <f t="shared" si="0"/>
        <v>2125</v>
      </c>
      <c r="G11" s="40"/>
      <c r="H11" s="38">
        <f t="shared" si="1"/>
        <v>0</v>
      </c>
      <c r="I11" s="39">
        <f t="shared" si="2"/>
        <v>2125</v>
      </c>
    </row>
    <row r="12" spans="1:14" x14ac:dyDescent="0.4">
      <c r="A12" s="34">
        <v>7</v>
      </c>
      <c r="B12" s="35" t="s">
        <v>29</v>
      </c>
      <c r="C12" s="35" t="s">
        <v>4</v>
      </c>
      <c r="D12" s="36">
        <v>112</v>
      </c>
      <c r="E12" s="40">
        <v>12</v>
      </c>
      <c r="F12" s="37">
        <f t="shared" si="0"/>
        <v>1344</v>
      </c>
      <c r="G12" s="40"/>
      <c r="H12" s="38">
        <v>0</v>
      </c>
      <c r="I12" s="39">
        <f t="shared" si="2"/>
        <v>1344</v>
      </c>
    </row>
    <row r="13" spans="1:14" x14ac:dyDescent="0.4">
      <c r="A13" s="34">
        <v>8</v>
      </c>
      <c r="B13" s="35" t="s">
        <v>30</v>
      </c>
      <c r="C13" s="35" t="s">
        <v>3</v>
      </c>
      <c r="D13" s="36">
        <v>250</v>
      </c>
      <c r="E13" s="40">
        <v>17.600000000000001</v>
      </c>
      <c r="F13" s="37">
        <f t="shared" si="0"/>
        <v>4400</v>
      </c>
      <c r="G13" s="40">
        <v>15</v>
      </c>
      <c r="H13" s="38">
        <f t="shared" si="1"/>
        <v>3750</v>
      </c>
      <c r="I13" s="39">
        <f t="shared" si="2"/>
        <v>8150</v>
      </c>
    </row>
    <row r="14" spans="1:14" x14ac:dyDescent="0.4">
      <c r="A14" s="34">
        <v>9</v>
      </c>
      <c r="B14" s="35" t="s">
        <v>18</v>
      </c>
      <c r="C14" s="35" t="s">
        <v>3</v>
      </c>
      <c r="D14" s="36">
        <v>128</v>
      </c>
      <c r="E14" s="40">
        <v>5.86</v>
      </c>
      <c r="F14" s="37">
        <f t="shared" si="0"/>
        <v>750.08</v>
      </c>
      <c r="G14" s="40">
        <v>7.5</v>
      </c>
      <c r="H14" s="38">
        <f t="shared" si="1"/>
        <v>960</v>
      </c>
      <c r="I14" s="39">
        <f t="shared" si="2"/>
        <v>1710.08</v>
      </c>
      <c r="K14">
        <v>100</v>
      </c>
      <c r="L14">
        <v>22</v>
      </c>
      <c r="M14">
        <v>22</v>
      </c>
    </row>
    <row r="15" spans="1:14" x14ac:dyDescent="0.4">
      <c r="A15" s="34">
        <v>10</v>
      </c>
      <c r="B15" s="35" t="s">
        <v>17</v>
      </c>
      <c r="C15" s="35" t="s">
        <v>3</v>
      </c>
      <c r="D15" s="36">
        <v>128</v>
      </c>
      <c r="E15" s="40">
        <v>3.11</v>
      </c>
      <c r="F15" s="37">
        <f t="shared" si="0"/>
        <v>398.08</v>
      </c>
      <c r="G15" s="40">
        <v>6.5</v>
      </c>
      <c r="H15" s="38">
        <f t="shared" si="1"/>
        <v>832</v>
      </c>
      <c r="I15" s="39">
        <f t="shared" si="2"/>
        <v>1230.08</v>
      </c>
    </row>
    <row r="16" spans="1:14" x14ac:dyDescent="0.4">
      <c r="A16" s="34">
        <v>11</v>
      </c>
      <c r="B16" s="41" t="s">
        <v>16</v>
      </c>
      <c r="C16" s="35" t="s">
        <v>3</v>
      </c>
      <c r="D16" s="36">
        <v>128</v>
      </c>
      <c r="E16" s="40">
        <v>10</v>
      </c>
      <c r="F16" s="37">
        <f t="shared" si="0"/>
        <v>1280</v>
      </c>
      <c r="G16" s="40">
        <v>5.5</v>
      </c>
      <c r="H16" s="38">
        <f t="shared" si="1"/>
        <v>704</v>
      </c>
      <c r="I16" s="39">
        <f t="shared" si="2"/>
        <v>1984</v>
      </c>
      <c r="M16">
        <v>22</v>
      </c>
      <c r="N16">
        <v>32</v>
      </c>
    </row>
    <row r="17" spans="1:15" x14ac:dyDescent="0.4">
      <c r="A17" s="34">
        <v>12</v>
      </c>
      <c r="B17" s="35" t="s">
        <v>15</v>
      </c>
      <c r="C17" s="35" t="s">
        <v>3</v>
      </c>
      <c r="D17" s="36">
        <v>128</v>
      </c>
      <c r="E17" s="40">
        <v>3</v>
      </c>
      <c r="F17" s="37">
        <f t="shared" si="0"/>
        <v>384</v>
      </c>
      <c r="G17" s="40">
        <v>25</v>
      </c>
      <c r="H17" s="38">
        <f t="shared" si="1"/>
        <v>3200</v>
      </c>
      <c r="I17" s="39">
        <f t="shared" si="2"/>
        <v>3584</v>
      </c>
      <c r="O17">
        <v>35</v>
      </c>
    </row>
    <row r="18" spans="1:15" x14ac:dyDescent="0.4">
      <c r="A18" s="34">
        <v>13</v>
      </c>
      <c r="B18" s="35" t="s">
        <v>31</v>
      </c>
      <c r="C18" s="35" t="s">
        <v>3</v>
      </c>
      <c r="D18" s="36">
        <v>128</v>
      </c>
      <c r="E18" s="40">
        <v>2.2999999999999998</v>
      </c>
      <c r="F18" s="37">
        <f t="shared" si="0"/>
        <v>294.39999999999998</v>
      </c>
      <c r="G18" s="40">
        <v>3.5</v>
      </c>
      <c r="H18" s="38">
        <f t="shared" si="1"/>
        <v>448</v>
      </c>
      <c r="I18" s="39">
        <f t="shared" si="2"/>
        <v>742.4</v>
      </c>
    </row>
    <row r="19" spans="1:15" x14ac:dyDescent="0.4">
      <c r="A19" s="34">
        <v>14</v>
      </c>
      <c r="B19" s="35" t="s">
        <v>32</v>
      </c>
      <c r="C19" s="35" t="s">
        <v>9</v>
      </c>
      <c r="D19" s="36">
        <v>1.875</v>
      </c>
      <c r="E19" s="40">
        <v>270</v>
      </c>
      <c r="F19" s="37">
        <f t="shared" si="0"/>
        <v>506.25</v>
      </c>
      <c r="G19" s="40">
        <v>7</v>
      </c>
      <c r="H19" s="38">
        <f t="shared" si="1"/>
        <v>13.125</v>
      </c>
      <c r="I19" s="39">
        <f t="shared" si="2"/>
        <v>519.375</v>
      </c>
    </row>
    <row r="20" spans="1:15" x14ac:dyDescent="0.4">
      <c r="A20" s="34">
        <v>15</v>
      </c>
      <c r="B20" s="35" t="s">
        <v>33</v>
      </c>
      <c r="C20" s="35" t="s">
        <v>3</v>
      </c>
      <c r="D20" s="36">
        <v>150</v>
      </c>
      <c r="E20" s="40">
        <v>1.5</v>
      </c>
      <c r="F20" s="37">
        <f t="shared" si="0"/>
        <v>225</v>
      </c>
      <c r="G20" s="40">
        <v>2</v>
      </c>
      <c r="H20" s="38">
        <f t="shared" si="1"/>
        <v>300</v>
      </c>
      <c r="I20" s="39">
        <f t="shared" si="2"/>
        <v>525</v>
      </c>
    </row>
    <row r="21" spans="1:15" x14ac:dyDescent="0.4">
      <c r="A21" s="34">
        <v>16</v>
      </c>
      <c r="B21" s="35" t="s">
        <v>34</v>
      </c>
      <c r="C21" s="35" t="s">
        <v>3</v>
      </c>
      <c r="D21" s="36">
        <v>128</v>
      </c>
      <c r="E21" s="40">
        <v>64</v>
      </c>
      <c r="F21" s="37">
        <f>SUM(D21*E21)</f>
        <v>8192</v>
      </c>
      <c r="G21" s="40">
        <v>16</v>
      </c>
      <c r="H21" s="38">
        <f>D21*G21</f>
        <v>2048</v>
      </c>
      <c r="I21" s="39">
        <f>F21+H21</f>
        <v>10240</v>
      </c>
    </row>
    <row r="22" spans="1:15" x14ac:dyDescent="0.4">
      <c r="A22" s="34">
        <v>17</v>
      </c>
      <c r="B22" s="35" t="s">
        <v>35</v>
      </c>
      <c r="C22" s="35" t="s">
        <v>3</v>
      </c>
      <c r="D22" s="36">
        <v>26</v>
      </c>
      <c r="E22" s="40">
        <v>120</v>
      </c>
      <c r="F22" s="37">
        <f t="shared" si="0"/>
        <v>3120</v>
      </c>
      <c r="G22" s="40">
        <v>100</v>
      </c>
      <c r="H22" s="38">
        <f t="shared" si="1"/>
        <v>2600</v>
      </c>
      <c r="I22" s="39">
        <f t="shared" si="2"/>
        <v>5720</v>
      </c>
    </row>
    <row r="23" spans="1:15" x14ac:dyDescent="0.4">
      <c r="A23" s="34">
        <v>18</v>
      </c>
      <c r="B23" s="35" t="s">
        <v>19</v>
      </c>
      <c r="C23" s="35" t="s">
        <v>4</v>
      </c>
      <c r="D23" s="36">
        <v>5</v>
      </c>
      <c r="E23" s="40">
        <v>300</v>
      </c>
      <c r="F23" s="37">
        <f t="shared" si="0"/>
        <v>1500</v>
      </c>
      <c r="G23" s="40">
        <v>70</v>
      </c>
      <c r="H23" s="38">
        <f t="shared" si="1"/>
        <v>350</v>
      </c>
      <c r="I23" s="39">
        <f t="shared" si="2"/>
        <v>1850</v>
      </c>
    </row>
    <row r="24" spans="1:15" x14ac:dyDescent="0.4">
      <c r="A24" s="34">
        <v>19</v>
      </c>
      <c r="B24" s="35" t="s">
        <v>38</v>
      </c>
      <c r="C24" s="35" t="s">
        <v>4</v>
      </c>
      <c r="D24" s="36">
        <v>1</v>
      </c>
      <c r="E24" s="40">
        <v>0</v>
      </c>
      <c r="F24" s="37">
        <f t="shared" si="0"/>
        <v>0</v>
      </c>
      <c r="G24" s="40">
        <v>1500</v>
      </c>
      <c r="H24" s="38">
        <f t="shared" si="1"/>
        <v>1500</v>
      </c>
      <c r="I24" s="39">
        <f t="shared" si="2"/>
        <v>1500</v>
      </c>
    </row>
    <row r="25" spans="1:15" x14ac:dyDescent="0.4">
      <c r="A25" s="34">
        <v>20</v>
      </c>
      <c r="B25" s="35" t="s">
        <v>50</v>
      </c>
      <c r="C25" s="35" t="s">
        <v>3</v>
      </c>
      <c r="D25" s="36">
        <v>39</v>
      </c>
      <c r="E25" s="40"/>
      <c r="F25" s="37"/>
      <c r="G25" s="40"/>
      <c r="H25" s="38"/>
      <c r="I25" s="39"/>
      <c r="K25">
        <v>18</v>
      </c>
      <c r="L25">
        <v>28</v>
      </c>
    </row>
    <row r="26" spans="1:15" x14ac:dyDescent="0.4">
      <c r="A26" s="34">
        <v>21</v>
      </c>
      <c r="B26" s="35" t="s">
        <v>51</v>
      </c>
      <c r="C26" s="35" t="s">
        <v>3</v>
      </c>
      <c r="D26" s="36"/>
      <c r="E26" s="40"/>
      <c r="F26" s="37"/>
      <c r="G26" s="40"/>
      <c r="H26" s="38"/>
      <c r="I26" s="39"/>
    </row>
    <row r="27" spans="1:15" x14ac:dyDescent="0.4">
      <c r="A27" s="21">
        <v>22</v>
      </c>
      <c r="B27" s="22" t="s">
        <v>5</v>
      </c>
      <c r="C27" s="22"/>
      <c r="D27" s="23"/>
      <c r="E27" s="27"/>
      <c r="F27" s="24"/>
      <c r="G27" s="27"/>
      <c r="H27" s="25"/>
      <c r="I27" s="26"/>
    </row>
    <row r="28" spans="1:15" x14ac:dyDescent="0.4">
      <c r="A28" s="21">
        <v>23</v>
      </c>
      <c r="B28" s="22" t="s">
        <v>20</v>
      </c>
      <c r="C28" s="22"/>
      <c r="D28" s="23"/>
      <c r="E28" s="27"/>
      <c r="F28" s="24"/>
      <c r="G28" s="27"/>
      <c r="H28" s="25"/>
      <c r="I28" s="26"/>
    </row>
    <row r="29" spans="1:15" x14ac:dyDescent="0.4">
      <c r="A29" s="21">
        <v>24</v>
      </c>
      <c r="B29" s="22" t="s">
        <v>21</v>
      </c>
      <c r="C29" s="22"/>
      <c r="D29" s="23"/>
      <c r="E29" s="27"/>
      <c r="F29" s="24"/>
      <c r="G29" s="27"/>
      <c r="H29" s="24"/>
      <c r="I29" s="26"/>
    </row>
    <row r="30" spans="1:15" x14ac:dyDescent="0.4">
      <c r="A30" s="21">
        <v>25</v>
      </c>
      <c r="B30" s="22" t="s">
        <v>22</v>
      </c>
      <c r="C30" s="22"/>
      <c r="D30" s="23"/>
      <c r="E30" s="27"/>
      <c r="F30" s="24"/>
      <c r="G30" s="27"/>
      <c r="H30" s="24"/>
      <c r="I30" s="26"/>
    </row>
    <row r="31" spans="1:15" x14ac:dyDescent="0.4">
      <c r="A31" s="21">
        <v>26</v>
      </c>
      <c r="B31" s="22" t="s">
        <v>36</v>
      </c>
      <c r="C31" s="22"/>
      <c r="D31" s="23"/>
      <c r="E31" s="27"/>
      <c r="F31" s="24"/>
      <c r="G31" s="27"/>
      <c r="H31" s="24"/>
      <c r="I31" s="26"/>
    </row>
    <row r="32" spans="1:15" x14ac:dyDescent="0.4">
      <c r="A32" s="21">
        <v>27</v>
      </c>
      <c r="B32" s="22" t="s">
        <v>37</v>
      </c>
      <c r="C32" s="22"/>
      <c r="D32" s="23"/>
      <c r="E32" s="27"/>
      <c r="F32" s="24"/>
      <c r="G32" s="27"/>
      <c r="H32" s="24"/>
      <c r="I32" s="26"/>
    </row>
    <row r="33" spans="1:9" ht="15" thickBot="1" x14ac:dyDescent="0.45">
      <c r="A33" s="42"/>
      <c r="B33" s="43" t="s">
        <v>40</v>
      </c>
      <c r="C33" s="43"/>
      <c r="D33" s="44"/>
      <c r="E33" s="44" t="s">
        <v>2</v>
      </c>
      <c r="F33" s="45">
        <f>SUM(F6:F30)</f>
        <v>29433.010000000002</v>
      </c>
      <c r="G33" s="44"/>
      <c r="H33" s="46">
        <f>SUM(H6:H30)</f>
        <v>25531.625</v>
      </c>
      <c r="I33" s="47">
        <f>SUM(I6:I30)</f>
        <v>54964.635000000002</v>
      </c>
    </row>
    <row r="34" spans="1:9" ht="15" thickBot="1" x14ac:dyDescent="0.45">
      <c r="A34" s="28"/>
      <c r="B34" s="29" t="s">
        <v>41</v>
      </c>
      <c r="C34" s="29"/>
      <c r="D34" s="30"/>
      <c r="E34" s="30"/>
      <c r="F34" s="31"/>
      <c r="G34" s="30"/>
      <c r="H34" s="32"/>
      <c r="I34" s="33"/>
    </row>
    <row r="35" spans="1:9" ht="15" thickBot="1" x14ac:dyDescent="0.45">
      <c r="A35" s="9"/>
      <c r="B35" s="10" t="s">
        <v>43</v>
      </c>
      <c r="C35" s="11"/>
      <c r="D35" s="12"/>
      <c r="E35" s="13"/>
      <c r="F35" s="14"/>
      <c r="G35" s="13"/>
      <c r="H35" s="15"/>
      <c r="I35" s="16"/>
    </row>
    <row r="36" spans="1:9" x14ac:dyDescent="0.4">
      <c r="A36" s="4"/>
      <c r="B36" s="3"/>
      <c r="D36" s="1"/>
      <c r="E36" s="5"/>
      <c r="F36" s="6"/>
      <c r="G36" s="5"/>
      <c r="H36" s="5"/>
      <c r="I36" s="5"/>
    </row>
    <row r="37" spans="1:9" x14ac:dyDescent="0.4">
      <c r="B37" s="49" t="s">
        <v>44</v>
      </c>
    </row>
    <row r="38" spans="1:9" x14ac:dyDescent="0.4">
      <c r="B38" s="49" t="s">
        <v>66</v>
      </c>
    </row>
    <row r="39" spans="1:9" x14ac:dyDescent="0.4">
      <c r="B39" s="50" t="s">
        <v>42</v>
      </c>
    </row>
  </sheetData>
  <hyperlinks>
    <hyperlink ref="B2" r:id="rId1" xr:uid="{088368EF-2B4B-4C5E-9412-EFBF6354920C}"/>
    <hyperlink ref="B39" r:id="rId2" xr:uid="{43E2C5A6-D2DF-4453-802F-C5CD08A9A308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F14F-7439-46D3-BEB1-C56D065E8DB4}">
  <dimension ref="A2:P39"/>
  <sheetViews>
    <sheetView tabSelected="1" topLeftCell="A41" zoomScale="70" zoomScaleNormal="70" workbookViewId="0">
      <selection activeCell="P48" sqref="P48"/>
    </sheetView>
  </sheetViews>
  <sheetFormatPr defaultRowHeight="14.6" x14ac:dyDescent="0.4"/>
  <cols>
    <col min="1" max="1" width="3.53515625" customWidth="1"/>
    <col min="2" max="2" width="52.84375" customWidth="1"/>
    <col min="3" max="3" width="6.15234375" customWidth="1"/>
    <col min="4" max="4" width="6" customWidth="1"/>
    <col min="5" max="5" width="11.3046875" customWidth="1"/>
    <col min="6" max="6" width="9.53515625" customWidth="1"/>
    <col min="7" max="7" width="10" hidden="1" customWidth="1"/>
    <col min="8" max="8" width="11.84375" customWidth="1"/>
    <col min="9" max="9" width="10" customWidth="1"/>
    <col min="16" max="16" width="18.3046875" customWidth="1"/>
  </cols>
  <sheetData>
    <row r="2" spans="1:16" ht="24.75" customHeight="1" x14ac:dyDescent="0.4">
      <c r="B2" s="48" t="s">
        <v>42</v>
      </c>
    </row>
    <row r="3" spans="1:16" ht="18.45" x14ac:dyDescent="0.5">
      <c r="A3" s="1"/>
      <c r="B3" s="7" t="s">
        <v>63</v>
      </c>
      <c r="C3" s="2"/>
      <c r="D3" s="1"/>
      <c r="E3" s="1"/>
      <c r="F3" s="1"/>
      <c r="G3" s="1"/>
      <c r="H3" s="1"/>
      <c r="I3" s="1"/>
    </row>
    <row r="4" spans="1:16" ht="18.899999999999999" thickBot="1" x14ac:dyDescent="0.55000000000000004">
      <c r="A4" s="1"/>
      <c r="B4" s="7" t="s">
        <v>64</v>
      </c>
      <c r="C4" s="2"/>
      <c r="D4" s="1"/>
      <c r="E4" s="1"/>
      <c r="F4" s="1"/>
      <c r="G4" s="1"/>
      <c r="H4" s="1"/>
      <c r="I4" s="1"/>
    </row>
    <row r="5" spans="1:16" s="8" customFormat="1" ht="12.9" x14ac:dyDescent="0.35">
      <c r="A5" s="17" t="s">
        <v>0</v>
      </c>
      <c r="B5" s="18" t="s">
        <v>7</v>
      </c>
      <c r="C5" s="18" t="s">
        <v>6</v>
      </c>
      <c r="D5" s="19" t="s">
        <v>1</v>
      </c>
      <c r="E5" s="19" t="s">
        <v>27</v>
      </c>
      <c r="F5" s="18" t="s">
        <v>26</v>
      </c>
      <c r="G5" s="19" t="s">
        <v>25</v>
      </c>
      <c r="H5" s="18" t="s">
        <v>28</v>
      </c>
      <c r="I5" s="20" t="s">
        <v>2</v>
      </c>
    </row>
    <row r="6" spans="1:16" x14ac:dyDescent="0.4">
      <c r="A6" s="34">
        <v>1</v>
      </c>
      <c r="B6" s="35" t="s">
        <v>48</v>
      </c>
      <c r="C6" s="35" t="s">
        <v>9</v>
      </c>
      <c r="D6" s="36">
        <v>1.67</v>
      </c>
      <c r="E6" s="37">
        <v>690</v>
      </c>
      <c r="F6" s="37">
        <f t="shared" ref="F6:F26" si="0">SUM(D6*E6)</f>
        <v>1152.3</v>
      </c>
      <c r="G6" s="37">
        <v>950</v>
      </c>
      <c r="H6" s="38">
        <f>D6*G6</f>
        <v>1586.5</v>
      </c>
      <c r="I6" s="39">
        <f>F6+H6</f>
        <v>2738.8</v>
      </c>
    </row>
    <row r="7" spans="1:16" x14ac:dyDescent="0.4">
      <c r="A7" s="34">
        <v>2</v>
      </c>
      <c r="B7" s="35" t="s">
        <v>52</v>
      </c>
      <c r="C7" s="35" t="s">
        <v>9</v>
      </c>
      <c r="D7" s="36">
        <v>0.13</v>
      </c>
      <c r="E7" s="40">
        <v>690</v>
      </c>
      <c r="F7" s="37">
        <f t="shared" si="0"/>
        <v>89.7</v>
      </c>
      <c r="G7" s="37">
        <v>950</v>
      </c>
      <c r="H7" s="38">
        <f t="shared" ref="H7:H24" si="1">D7*G7</f>
        <v>123.5</v>
      </c>
      <c r="I7" s="39">
        <f t="shared" ref="I7:I24" si="2">F7+H7</f>
        <v>213.2</v>
      </c>
    </row>
    <row r="8" spans="1:16" x14ac:dyDescent="0.4">
      <c r="A8" s="34">
        <v>3</v>
      </c>
      <c r="B8" s="35" t="s">
        <v>53</v>
      </c>
      <c r="C8" s="35" t="s">
        <v>9</v>
      </c>
      <c r="D8" s="36">
        <v>0.52</v>
      </c>
      <c r="E8" s="40">
        <v>690</v>
      </c>
      <c r="F8" s="37">
        <f t="shared" si="0"/>
        <v>358.8</v>
      </c>
      <c r="G8" s="37">
        <v>950</v>
      </c>
      <c r="H8" s="38">
        <f t="shared" si="1"/>
        <v>494</v>
      </c>
      <c r="I8" s="39">
        <f t="shared" si="2"/>
        <v>852.8</v>
      </c>
    </row>
    <row r="9" spans="1:16" x14ac:dyDescent="0.4">
      <c r="A9" s="34">
        <v>4</v>
      </c>
      <c r="B9" s="35" t="s">
        <v>54</v>
      </c>
      <c r="C9" s="35" t="s">
        <v>9</v>
      </c>
      <c r="D9" s="36">
        <v>0.8</v>
      </c>
      <c r="E9" s="40">
        <v>690</v>
      </c>
      <c r="F9" s="37">
        <f t="shared" ref="F9" si="3">SUM(D9*E9)</f>
        <v>552</v>
      </c>
      <c r="G9" s="37">
        <v>950</v>
      </c>
      <c r="H9" s="38">
        <f t="shared" ref="H9" si="4">D9*G9</f>
        <v>760</v>
      </c>
      <c r="I9" s="39">
        <f t="shared" ref="I9" si="5">F9+H9</f>
        <v>1312</v>
      </c>
    </row>
    <row r="10" spans="1:16" x14ac:dyDescent="0.4">
      <c r="A10" s="34">
        <v>5</v>
      </c>
      <c r="B10" s="35" t="s">
        <v>55</v>
      </c>
      <c r="C10" s="35" t="s">
        <v>3</v>
      </c>
      <c r="D10" s="36">
        <v>90</v>
      </c>
      <c r="E10" s="40">
        <v>1.91</v>
      </c>
      <c r="F10" s="37">
        <f t="shared" si="0"/>
        <v>171.9</v>
      </c>
      <c r="G10" s="40">
        <v>6.5</v>
      </c>
      <c r="H10" s="38">
        <f t="shared" si="1"/>
        <v>585</v>
      </c>
      <c r="I10" s="39">
        <f t="shared" si="2"/>
        <v>756.9</v>
      </c>
      <c r="K10" t="s">
        <v>56</v>
      </c>
      <c r="L10" t="s">
        <v>57</v>
      </c>
      <c r="M10" t="s">
        <v>58</v>
      </c>
      <c r="N10" t="s">
        <v>59</v>
      </c>
      <c r="O10" t="s">
        <v>60</v>
      </c>
      <c r="P10" t="s">
        <v>61</v>
      </c>
    </row>
    <row r="11" spans="1:16" x14ac:dyDescent="0.4">
      <c r="A11" s="34">
        <v>6</v>
      </c>
      <c r="B11" s="35" t="s">
        <v>39</v>
      </c>
      <c r="C11" s="35" t="s">
        <v>3</v>
      </c>
      <c r="D11" s="36">
        <v>170</v>
      </c>
      <c r="E11" s="40">
        <v>1.2</v>
      </c>
      <c r="F11" s="37">
        <f t="shared" si="0"/>
        <v>204</v>
      </c>
      <c r="G11" s="40">
        <v>6.5</v>
      </c>
      <c r="H11" s="38">
        <f t="shared" si="1"/>
        <v>1105</v>
      </c>
      <c r="I11" s="39">
        <f t="shared" si="2"/>
        <v>1309</v>
      </c>
      <c r="K11" s="1">
        <v>27.48</v>
      </c>
      <c r="L11" s="1">
        <v>31</v>
      </c>
      <c r="M11" s="1">
        <v>33</v>
      </c>
      <c r="N11" s="1">
        <v>17</v>
      </c>
      <c r="O11" s="1">
        <v>21</v>
      </c>
      <c r="P11" s="51">
        <v>30</v>
      </c>
    </row>
    <row r="12" spans="1:16" x14ac:dyDescent="0.4">
      <c r="A12" s="34">
        <v>7</v>
      </c>
      <c r="B12" s="35" t="s">
        <v>14</v>
      </c>
      <c r="C12" s="35" t="s">
        <v>3</v>
      </c>
      <c r="D12" s="36">
        <v>160</v>
      </c>
      <c r="E12" s="40">
        <v>8.5</v>
      </c>
      <c r="F12" s="37">
        <f t="shared" si="0"/>
        <v>1360</v>
      </c>
      <c r="G12" s="40"/>
      <c r="H12" s="38">
        <f t="shared" si="1"/>
        <v>0</v>
      </c>
      <c r="I12" s="39">
        <f t="shared" si="2"/>
        <v>1360</v>
      </c>
    </row>
    <row r="13" spans="1:16" x14ac:dyDescent="0.4">
      <c r="A13" s="34">
        <v>8</v>
      </c>
      <c r="B13" s="35" t="s">
        <v>29</v>
      </c>
      <c r="C13" s="35" t="s">
        <v>4</v>
      </c>
      <c r="D13" s="36">
        <v>56</v>
      </c>
      <c r="E13" s="40">
        <v>10</v>
      </c>
      <c r="F13" s="37">
        <f t="shared" si="0"/>
        <v>560</v>
      </c>
      <c r="G13" s="40"/>
      <c r="H13" s="38">
        <v>0</v>
      </c>
      <c r="I13" s="39">
        <f t="shared" si="2"/>
        <v>560</v>
      </c>
    </row>
    <row r="14" spans="1:16" x14ac:dyDescent="0.4">
      <c r="A14" s="34">
        <v>9</v>
      </c>
      <c r="B14" s="35" t="s">
        <v>30</v>
      </c>
      <c r="C14" s="35" t="s">
        <v>3</v>
      </c>
      <c r="D14" s="36">
        <v>150</v>
      </c>
      <c r="E14" s="40">
        <v>17.600000000000001</v>
      </c>
      <c r="F14" s="37">
        <f t="shared" si="0"/>
        <v>2640</v>
      </c>
      <c r="G14" s="40">
        <v>15</v>
      </c>
      <c r="H14" s="38">
        <f t="shared" si="1"/>
        <v>2250</v>
      </c>
      <c r="I14" s="39">
        <f t="shared" si="2"/>
        <v>4890</v>
      </c>
    </row>
    <row r="15" spans="1:16" x14ac:dyDescent="0.4">
      <c r="A15" s="34">
        <v>10</v>
      </c>
      <c r="B15" s="35" t="s">
        <v>18</v>
      </c>
      <c r="C15" s="35" t="s">
        <v>3</v>
      </c>
      <c r="D15" s="36">
        <v>90</v>
      </c>
      <c r="E15" s="40">
        <v>5.86</v>
      </c>
      <c r="F15" s="37">
        <f t="shared" si="0"/>
        <v>527.4</v>
      </c>
      <c r="G15" s="40">
        <v>7.5</v>
      </c>
      <c r="H15" s="38">
        <f t="shared" si="1"/>
        <v>675</v>
      </c>
      <c r="I15" s="39">
        <f t="shared" si="2"/>
        <v>1202.4000000000001</v>
      </c>
      <c r="K15">
        <v>73</v>
      </c>
      <c r="L15">
        <v>27</v>
      </c>
    </row>
    <row r="16" spans="1:16" x14ac:dyDescent="0.4">
      <c r="A16" s="34">
        <v>11</v>
      </c>
      <c r="B16" s="35" t="s">
        <v>17</v>
      </c>
      <c r="C16" s="35" t="s">
        <v>3</v>
      </c>
      <c r="D16" s="36">
        <v>90</v>
      </c>
      <c r="E16" s="40">
        <v>3.11</v>
      </c>
      <c r="F16" s="37">
        <f t="shared" si="0"/>
        <v>279.89999999999998</v>
      </c>
      <c r="G16" s="40">
        <v>6.5</v>
      </c>
      <c r="H16" s="38">
        <f t="shared" si="1"/>
        <v>585</v>
      </c>
      <c r="I16" s="39">
        <f t="shared" si="2"/>
        <v>864.9</v>
      </c>
    </row>
    <row r="17" spans="1:9" x14ac:dyDescent="0.4">
      <c r="A17" s="34">
        <v>12</v>
      </c>
      <c r="B17" s="41" t="s">
        <v>16</v>
      </c>
      <c r="C17" s="35" t="s">
        <v>3</v>
      </c>
      <c r="D17" s="36">
        <v>90</v>
      </c>
      <c r="E17" s="40">
        <v>10</v>
      </c>
      <c r="F17" s="37">
        <f t="shared" si="0"/>
        <v>900</v>
      </c>
      <c r="G17" s="40">
        <v>5.5</v>
      </c>
      <c r="H17" s="38">
        <f t="shared" si="1"/>
        <v>495</v>
      </c>
      <c r="I17" s="39">
        <f t="shared" si="2"/>
        <v>1395</v>
      </c>
    </row>
    <row r="18" spans="1:9" x14ac:dyDescent="0.4">
      <c r="A18" s="34">
        <v>13</v>
      </c>
      <c r="B18" s="35" t="s">
        <v>15</v>
      </c>
      <c r="C18" s="35" t="s">
        <v>3</v>
      </c>
      <c r="D18" s="36">
        <v>90</v>
      </c>
      <c r="E18" s="40">
        <v>3</v>
      </c>
      <c r="F18" s="37">
        <f t="shared" si="0"/>
        <v>270</v>
      </c>
      <c r="G18" s="40">
        <v>25</v>
      </c>
      <c r="H18" s="38">
        <f t="shared" si="1"/>
        <v>2250</v>
      </c>
      <c r="I18" s="39">
        <f t="shared" si="2"/>
        <v>2520</v>
      </c>
    </row>
    <row r="19" spans="1:9" x14ac:dyDescent="0.4">
      <c r="A19" s="34">
        <v>14</v>
      </c>
      <c r="B19" s="35" t="s">
        <v>31</v>
      </c>
      <c r="C19" s="35" t="s">
        <v>3</v>
      </c>
      <c r="D19" s="36">
        <v>90</v>
      </c>
      <c r="E19" s="40">
        <v>2.2999999999999998</v>
      </c>
      <c r="F19" s="37">
        <f t="shared" si="0"/>
        <v>206.99999999999997</v>
      </c>
      <c r="G19" s="40">
        <v>3.5</v>
      </c>
      <c r="H19" s="38">
        <f t="shared" si="1"/>
        <v>315</v>
      </c>
      <c r="I19" s="39">
        <f t="shared" si="2"/>
        <v>522</v>
      </c>
    </row>
    <row r="20" spans="1:9" x14ac:dyDescent="0.4">
      <c r="A20" s="34">
        <v>15</v>
      </c>
      <c r="B20" s="35" t="s">
        <v>32</v>
      </c>
      <c r="C20" s="35" t="s">
        <v>9</v>
      </c>
      <c r="D20" s="36">
        <v>1.25</v>
      </c>
      <c r="E20" s="40">
        <v>270</v>
      </c>
      <c r="F20" s="37">
        <f t="shared" si="0"/>
        <v>337.5</v>
      </c>
      <c r="G20" s="40">
        <v>7</v>
      </c>
      <c r="H20" s="38">
        <f t="shared" si="1"/>
        <v>8.75</v>
      </c>
      <c r="I20" s="39">
        <f t="shared" si="2"/>
        <v>346.25</v>
      </c>
    </row>
    <row r="21" spans="1:9" x14ac:dyDescent="0.4">
      <c r="A21" s="34">
        <v>16</v>
      </c>
      <c r="B21" s="35" t="s">
        <v>33</v>
      </c>
      <c r="C21" s="35" t="s">
        <v>3</v>
      </c>
      <c r="D21" s="36">
        <v>150</v>
      </c>
      <c r="E21" s="40">
        <v>1.5</v>
      </c>
      <c r="F21" s="37">
        <f t="shared" si="0"/>
        <v>225</v>
      </c>
      <c r="G21" s="40">
        <v>2</v>
      </c>
      <c r="H21" s="38">
        <f t="shared" si="1"/>
        <v>300</v>
      </c>
      <c r="I21" s="39">
        <f t="shared" si="2"/>
        <v>525</v>
      </c>
    </row>
    <row r="22" spans="1:9" x14ac:dyDescent="0.4">
      <c r="A22" s="34">
        <v>17</v>
      </c>
      <c r="B22" s="35" t="s">
        <v>34</v>
      </c>
      <c r="C22" s="35" t="s">
        <v>3</v>
      </c>
      <c r="D22" s="36">
        <v>90</v>
      </c>
      <c r="E22" s="40">
        <v>64</v>
      </c>
      <c r="F22" s="37">
        <f>SUM(D22*E22)</f>
        <v>5760</v>
      </c>
      <c r="G22" s="40"/>
      <c r="H22" s="38">
        <f>D22*G22</f>
        <v>0</v>
      </c>
      <c r="I22" s="39">
        <f>F22+H22</f>
        <v>5760</v>
      </c>
    </row>
    <row r="23" spans="1:9" x14ac:dyDescent="0.4">
      <c r="A23" s="34">
        <v>18</v>
      </c>
      <c r="B23" s="35" t="s">
        <v>35</v>
      </c>
      <c r="C23" s="35" t="s">
        <v>3</v>
      </c>
      <c r="D23" s="36">
        <v>10</v>
      </c>
      <c r="E23" s="40">
        <v>120</v>
      </c>
      <c r="F23" s="37">
        <f t="shared" si="0"/>
        <v>1200</v>
      </c>
      <c r="G23" s="40">
        <v>100</v>
      </c>
      <c r="H23" s="38">
        <f t="shared" si="1"/>
        <v>1000</v>
      </c>
      <c r="I23" s="39">
        <f t="shared" si="2"/>
        <v>2200</v>
      </c>
    </row>
    <row r="24" spans="1:9" x14ac:dyDescent="0.4">
      <c r="A24" s="34">
        <v>19</v>
      </c>
      <c r="B24" s="35" t="s">
        <v>19</v>
      </c>
      <c r="C24" s="35" t="s">
        <v>4</v>
      </c>
      <c r="D24" s="36">
        <v>2</v>
      </c>
      <c r="E24" s="40">
        <v>300</v>
      </c>
      <c r="F24" s="37">
        <f t="shared" si="0"/>
        <v>600</v>
      </c>
      <c r="G24" s="40">
        <v>70</v>
      </c>
      <c r="H24" s="38">
        <f t="shared" si="1"/>
        <v>140</v>
      </c>
      <c r="I24" s="39">
        <f t="shared" si="2"/>
        <v>740</v>
      </c>
    </row>
    <row r="25" spans="1:9" x14ac:dyDescent="0.4">
      <c r="A25" s="34">
        <v>20</v>
      </c>
      <c r="B25" s="35" t="s">
        <v>38</v>
      </c>
      <c r="C25" s="35" t="s">
        <v>4</v>
      </c>
      <c r="D25" s="36">
        <v>1</v>
      </c>
      <c r="E25" s="40">
        <v>0</v>
      </c>
      <c r="F25" s="37">
        <f t="shared" si="0"/>
        <v>0</v>
      </c>
      <c r="G25" s="40">
        <v>1500</v>
      </c>
      <c r="H25" s="38"/>
      <c r="I25" s="39"/>
    </row>
    <row r="26" spans="1:9" x14ac:dyDescent="0.4">
      <c r="A26" s="34">
        <v>21</v>
      </c>
      <c r="B26" s="35" t="s">
        <v>50</v>
      </c>
      <c r="C26" s="35" t="s">
        <v>3</v>
      </c>
      <c r="D26" s="36">
        <v>18</v>
      </c>
      <c r="E26" s="40">
        <v>6</v>
      </c>
      <c r="F26" s="37">
        <f t="shared" si="0"/>
        <v>108</v>
      </c>
      <c r="G26" s="40">
        <v>6</v>
      </c>
      <c r="H26" s="38">
        <f>D26*G26</f>
        <v>108</v>
      </c>
      <c r="I26" s="39">
        <f>F26+H26</f>
        <v>216</v>
      </c>
    </row>
    <row r="27" spans="1:9" x14ac:dyDescent="0.4">
      <c r="A27" s="34">
        <v>22</v>
      </c>
      <c r="B27" s="35" t="s">
        <v>51</v>
      </c>
      <c r="C27" s="35" t="s">
        <v>3</v>
      </c>
      <c r="D27" s="36">
        <v>30</v>
      </c>
      <c r="E27" s="40">
        <v>60</v>
      </c>
      <c r="F27" s="37">
        <f>D27*E27</f>
        <v>1800</v>
      </c>
      <c r="G27" s="40">
        <v>70</v>
      </c>
      <c r="H27" s="38">
        <f>D27*G27</f>
        <v>2100</v>
      </c>
      <c r="I27" s="39">
        <f>F27+H27</f>
        <v>3900</v>
      </c>
    </row>
    <row r="28" spans="1:9" x14ac:dyDescent="0.4">
      <c r="A28" s="21">
        <v>23</v>
      </c>
      <c r="B28" s="22" t="s">
        <v>5</v>
      </c>
      <c r="C28" s="22"/>
      <c r="D28" s="23"/>
      <c r="E28" s="27"/>
      <c r="F28" s="24"/>
      <c r="G28" s="27"/>
      <c r="H28" s="25"/>
      <c r="I28" s="26"/>
    </row>
    <row r="29" spans="1:9" x14ac:dyDescent="0.4">
      <c r="A29" s="21">
        <v>24</v>
      </c>
      <c r="B29" s="22" t="s">
        <v>20</v>
      </c>
      <c r="C29" s="22"/>
      <c r="D29" s="23"/>
      <c r="E29" s="27"/>
      <c r="F29" s="24"/>
      <c r="G29" s="27"/>
      <c r="H29" s="25"/>
      <c r="I29" s="26"/>
    </row>
    <row r="30" spans="1:9" x14ac:dyDescent="0.4">
      <c r="A30" s="21">
        <v>25</v>
      </c>
      <c r="B30" s="22" t="s">
        <v>22</v>
      </c>
      <c r="C30" s="22"/>
      <c r="D30" s="23"/>
      <c r="E30" s="27"/>
      <c r="F30" s="24"/>
      <c r="G30" s="27"/>
      <c r="H30" s="24"/>
      <c r="I30" s="26"/>
    </row>
    <row r="31" spans="1:9" x14ac:dyDescent="0.4">
      <c r="A31" s="21">
        <v>26</v>
      </c>
      <c r="B31" s="22" t="s">
        <v>36</v>
      </c>
      <c r="C31" s="22"/>
      <c r="D31" s="23"/>
      <c r="E31" s="27"/>
      <c r="F31" s="24"/>
      <c r="G31" s="27"/>
      <c r="H31" s="24"/>
      <c r="I31" s="26"/>
    </row>
    <row r="32" spans="1:9" x14ac:dyDescent="0.4">
      <c r="A32" s="21">
        <v>27</v>
      </c>
      <c r="B32" s="22" t="s">
        <v>37</v>
      </c>
      <c r="C32" s="22"/>
      <c r="D32" s="23"/>
      <c r="E32" s="27"/>
      <c r="F32" s="24"/>
      <c r="G32" s="27"/>
      <c r="H32" s="24"/>
      <c r="I32" s="26"/>
    </row>
    <row r="33" spans="1:9" ht="15" thickBot="1" x14ac:dyDescent="0.45">
      <c r="A33" s="42"/>
      <c r="B33" s="43" t="s">
        <v>40</v>
      </c>
      <c r="C33" s="43"/>
      <c r="D33" s="44"/>
      <c r="E33" s="44" t="s">
        <v>2</v>
      </c>
      <c r="F33" s="45">
        <f>SUM(F6:F30)</f>
        <v>19303.5</v>
      </c>
      <c r="G33" s="44"/>
      <c r="H33" s="46">
        <f>SUM(H6:H30)</f>
        <v>14880.75</v>
      </c>
      <c r="I33" s="47">
        <f>SUM(I6:I30)</f>
        <v>34184.25</v>
      </c>
    </row>
    <row r="34" spans="1:9" ht="15" thickBot="1" x14ac:dyDescent="0.45">
      <c r="A34" s="28"/>
      <c r="B34" s="29" t="s">
        <v>62</v>
      </c>
      <c r="C34" s="29"/>
      <c r="D34" s="30"/>
      <c r="E34" s="30"/>
      <c r="F34" s="31"/>
      <c r="G34" s="30"/>
      <c r="H34" s="32"/>
      <c r="I34" s="33"/>
    </row>
    <row r="35" spans="1:9" ht="15" thickBot="1" x14ac:dyDescent="0.45">
      <c r="A35" s="9"/>
      <c r="B35" s="10" t="s">
        <v>43</v>
      </c>
      <c r="C35" s="11"/>
      <c r="D35" s="12"/>
      <c r="E35" s="13"/>
      <c r="F35" s="14"/>
      <c r="G35" s="13"/>
      <c r="H35" s="15"/>
      <c r="I35" s="16"/>
    </row>
    <row r="36" spans="1:9" x14ac:dyDescent="0.4">
      <c r="A36" s="4"/>
      <c r="B36" s="3"/>
      <c r="D36" s="1"/>
      <c r="E36" s="5"/>
      <c r="F36" s="6"/>
      <c r="G36" s="5"/>
      <c r="H36" s="5"/>
      <c r="I36" s="5"/>
    </row>
    <row r="37" spans="1:9" x14ac:dyDescent="0.4">
      <c r="B37" s="49" t="s">
        <v>44</v>
      </c>
    </row>
    <row r="38" spans="1:9" x14ac:dyDescent="0.4">
      <c r="B38" s="49" t="s">
        <v>65</v>
      </c>
    </row>
    <row r="39" spans="1:9" x14ac:dyDescent="0.4">
      <c r="B39" s="50" t="s">
        <v>42</v>
      </c>
    </row>
  </sheetData>
  <hyperlinks>
    <hyperlink ref="B2" r:id="rId1" xr:uid="{C49B09FB-237B-4759-B4E5-00C5CA0399F1}"/>
    <hyperlink ref="B39" r:id="rId2" xr:uid="{4B094DF9-2B2E-4CD4-9A4B-E85769942422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ТАСОС</vt:lpstr>
      <vt:lpstr>Дани67</vt:lpstr>
      <vt:lpstr>Торос35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Zbet</dc:creator>
  <cp:lastModifiedBy>Trifon Yotov</cp:lastModifiedBy>
  <cp:lastPrinted>2025-08-26T12:32:25Z</cp:lastPrinted>
  <dcterms:created xsi:type="dcterms:W3CDTF">2025-04-08T13:42:47Z</dcterms:created>
  <dcterms:modified xsi:type="dcterms:W3CDTF">2026-04-14T15:26:29Z</dcterms:modified>
</cp:coreProperties>
</file>